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trlProps/ctrlProp1.xml" ContentType="application/vnd.ms-excel.controlproperties+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5.xml" ContentType="application/vnd.ms-office.chartstyle+xml"/>
  <Override PartName="/xl/charts/colors5.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3.xml" ContentType="application/vnd.ms-excel.slicer+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style7.xml" ContentType="application/vnd.ms-office.chartstyle+xml"/>
  <Override PartName="/xl/charts/colors7.xml" ContentType="application/vnd.ms-office.chartcolorstyle+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data projet for website\Marketpulse-Analytics-Dashboard\"/>
    </mc:Choice>
  </mc:AlternateContent>
  <xr:revisionPtr revIDLastSave="0" documentId="13_ncr:1_{16C52841-02C4-4CFE-AD04-5758256D0723}" xr6:coauthVersionLast="47" xr6:coauthVersionMax="47" xr10:uidLastSave="{00000000-0000-0000-0000-000000000000}"/>
  <bookViews>
    <workbookView xWindow="-108" yWindow="-108" windowWidth="23256" windowHeight="12456" firstSheet="2" activeTab="6" xr2:uid="{1CDE2E4B-DB17-481B-9E2B-7E0A19B40E29}"/>
  </bookViews>
  <sheets>
    <sheet name="Pivot" sheetId="2" r:id="rId1"/>
    <sheet name="Processing" sheetId="3" r:id="rId2"/>
    <sheet name="Dashboard" sheetId="1" r:id="rId3"/>
    <sheet name="Profitability" sheetId="5" r:id="rId4"/>
    <sheet name="Operations" sheetId="6" r:id="rId5"/>
    <sheet name="Dataset" sheetId="7" r:id="rId6"/>
    <sheet name="Insights" sheetId="8" r:id="rId7"/>
    <sheet name="Feuil1" sheetId="9" r:id="rId8"/>
  </sheets>
  <externalReferences>
    <externalReference r:id="rId9"/>
  </externalReferences>
  <definedNames>
    <definedName name="ExternalData_1" localSheetId="5" hidden="1">Dataset!$B$6:$W$506</definedName>
    <definedName name="Slicer_Months__Order_Date">#N/A</definedName>
    <definedName name="Slicer_Sources">#N/A</definedName>
    <definedName name="Slicer_Years__Order_Dat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132" i="3" l="1"/>
  <c r="E88" i="3"/>
  <c r="E87" i="3"/>
  <c r="E85" i="3"/>
  <c r="E84" i="3"/>
  <c r="E82" i="3"/>
  <c r="E81" i="3"/>
  <c r="E79" i="3"/>
  <c r="E78" i="3"/>
  <c r="H36" i="3"/>
  <c r="H35" i="3"/>
  <c r="B134" i="3"/>
  <c r="B109" i="3"/>
  <c r="B101" i="3"/>
  <c r="B38" i="3"/>
  <c r="B34" i="3"/>
  <c r="B137" i="3"/>
  <c r="C102" i="3"/>
  <c r="B22" i="3"/>
  <c r="B136" i="3"/>
  <c r="B26" i="3"/>
  <c r="B131" i="3"/>
  <c r="B107" i="3"/>
  <c r="C43" i="3"/>
  <c r="B28" i="3"/>
  <c r="B18" i="3"/>
  <c r="B41" i="3"/>
  <c r="B133" i="3"/>
  <c r="C108" i="3"/>
  <c r="C44" i="3"/>
  <c r="C34" i="3"/>
  <c r="B40" i="3"/>
  <c r="B128" i="3"/>
  <c r="B37" i="3"/>
  <c r="B129" i="3"/>
  <c r="B106" i="3"/>
  <c r="B44" i="3"/>
  <c r="B135" i="3"/>
  <c r="C38" i="3"/>
  <c r="B132" i="3"/>
  <c r="C106" i="3"/>
  <c r="B43" i="3"/>
  <c r="C37" i="3"/>
  <c r="B35" i="3"/>
  <c r="B112" i="3"/>
  <c r="C41" i="3"/>
  <c r="B29" i="3"/>
  <c r="B127" i="3"/>
  <c r="B105" i="3"/>
  <c r="B42" i="3"/>
  <c r="B24" i="3"/>
  <c r="B36" i="3"/>
  <c r="B130" i="3"/>
  <c r="B27" i="3"/>
  <c r="C111" i="3"/>
  <c r="B104" i="3"/>
  <c r="C107" i="3"/>
  <c r="B138" i="3"/>
  <c r="B111" i="3"/>
  <c r="B103" i="3"/>
  <c r="C39" i="3"/>
  <c r="B20" i="3"/>
  <c r="C109" i="3"/>
  <c r="B25" i="3"/>
  <c r="C112" i="3"/>
  <c r="C104" i="3"/>
  <c r="C40" i="3"/>
  <c r="B23" i="3"/>
  <c r="C35" i="3"/>
  <c r="C105" i="3"/>
  <c r="B21" i="3"/>
  <c r="B110" i="3"/>
  <c r="B102" i="3"/>
  <c r="C36" i="3"/>
  <c r="C101" i="3"/>
  <c r="C103" i="3"/>
  <c r="C110" i="3"/>
  <c r="B39" i="3"/>
  <c r="B19" i="3"/>
  <c r="B45" i="3"/>
  <c r="B108" i="3"/>
  <c r="C45" i="3"/>
  <c r="C42" i="3"/>
  <c r="D38" i="3"/>
  <c r="D44" i="3"/>
  <c r="D36" i="3"/>
  <c r="D34" i="3"/>
  <c r="D45" i="3"/>
  <c r="D40" i="3"/>
  <c r="D37" i="3"/>
  <c r="D39" i="3"/>
  <c r="D41" i="3"/>
  <c r="D43" i="3"/>
  <c r="D35" i="3"/>
  <c r="D42" i="3"/>
  <c r="C128" i="3"/>
  <c r="B79" i="3"/>
  <c r="B78" i="3"/>
  <c r="C138" i="3"/>
  <c r="D137" i="3"/>
  <c r="C22" i="3"/>
  <c r="G35" i="3"/>
  <c r="F41" i="3"/>
  <c r="E108" i="3"/>
  <c r="C25" i="3"/>
  <c r="F39" i="3"/>
  <c r="E103" i="3"/>
  <c r="B120" i="3"/>
  <c r="B62" i="3"/>
  <c r="B67" i="3"/>
  <c r="B119" i="3"/>
  <c r="D136" i="3"/>
  <c r="D5" i="3"/>
  <c r="C46" i="3"/>
  <c r="C136" i="3"/>
  <c r="D131" i="3"/>
  <c r="C132" i="3"/>
  <c r="D101" i="3"/>
  <c r="C5" i="3"/>
  <c r="E8" i="3"/>
  <c r="C29" i="3"/>
  <c r="G40" i="3"/>
  <c r="G45" i="3"/>
  <c r="B53" i="3"/>
  <c r="C93" i="3"/>
  <c r="E5" i="3"/>
  <c r="C8" i="3"/>
  <c r="B71" i="3"/>
  <c r="D104" i="3"/>
  <c r="D138" i="3"/>
  <c r="C27" i="3"/>
  <c r="B5" i="3"/>
  <c r="E105" i="3"/>
  <c r="E111" i="3"/>
  <c r="D111" i="3"/>
  <c r="F44" i="3"/>
  <c r="B46" i="3"/>
  <c r="C129" i="3"/>
  <c r="E110" i="3"/>
  <c r="A142" i="3"/>
  <c r="C131" i="3"/>
  <c r="C18" i="3"/>
  <c r="G44" i="3"/>
  <c r="E107" i="3"/>
  <c r="E112" i="3"/>
  <c r="C26" i="3"/>
  <c r="D110" i="3"/>
  <c r="G43" i="3"/>
  <c r="F43" i="3"/>
  <c r="C20" i="3"/>
  <c r="B63" i="3"/>
  <c r="D129" i="3"/>
  <c r="C23" i="3"/>
  <c r="B61" i="3"/>
  <c r="D133" i="3"/>
  <c r="B118" i="3"/>
  <c r="B60" i="3"/>
  <c r="B54" i="3"/>
  <c r="C134" i="3"/>
  <c r="D128" i="3"/>
  <c r="E2" i="3"/>
  <c r="B2" i="3"/>
  <c r="G34" i="3"/>
  <c r="G39" i="3"/>
  <c r="B55" i="3"/>
  <c r="D107" i="3"/>
  <c r="C28" i="3"/>
  <c r="F36" i="3"/>
  <c r="E102" i="3"/>
  <c r="E109" i="3"/>
  <c r="D8" i="3"/>
  <c r="B146" i="3"/>
  <c r="F34" i="3"/>
  <c r="D132" i="3"/>
  <c r="D108" i="3"/>
  <c r="F45" i="3"/>
  <c r="G42" i="3"/>
  <c r="E106" i="3"/>
  <c r="B121" i="3"/>
  <c r="G38" i="3"/>
  <c r="D103" i="3"/>
  <c r="F38" i="3"/>
  <c r="B77" i="3"/>
  <c r="G37" i="3"/>
  <c r="B52" i="3"/>
  <c r="D102" i="3"/>
  <c r="F35" i="3"/>
  <c r="B80" i="3"/>
  <c r="D130" i="3"/>
  <c r="G36" i="3"/>
  <c r="C130" i="3"/>
  <c r="D135" i="3"/>
  <c r="F37" i="3"/>
  <c r="B145" i="3"/>
  <c r="D106" i="3"/>
  <c r="C24" i="3"/>
  <c r="C127" i="3"/>
  <c r="D2" i="3"/>
  <c r="E104" i="3"/>
  <c r="D109" i="3"/>
  <c r="F40" i="3"/>
  <c r="B93" i="3"/>
  <c r="C135" i="3"/>
  <c r="C137" i="3"/>
  <c r="B94" i="3"/>
  <c r="D134" i="3"/>
  <c r="C19" i="3"/>
  <c r="F42" i="3"/>
  <c r="B51" i="3"/>
  <c r="E101" i="3"/>
  <c r="D127" i="3"/>
  <c r="G41" i="3"/>
  <c r="C133" i="3"/>
  <c r="C21" i="3"/>
  <c r="D93" i="3"/>
  <c r="C2" i="3"/>
  <c r="D105" i="3"/>
  <c r="B8" i="3"/>
  <c r="B122" i="3"/>
  <c r="D112" i="3"/>
  <c r="D16" i="3" l="1"/>
  <c r="D26" i="3" s="1"/>
  <c r="C30" i="3"/>
  <c r="D18" i="3"/>
  <c r="A71" i="3"/>
  <c r="A72" i="3" s="1"/>
  <c r="C113" i="3"/>
  <c r="C139" i="3"/>
  <c r="B81" i="3"/>
  <c r="C77" i="3" s="1"/>
  <c r="F77" i="3"/>
  <c r="B142" i="3"/>
  <c r="D11" i="3"/>
  <c r="B56" i="3"/>
  <c r="C51" i="3" s="1"/>
  <c r="F80" i="3"/>
  <c r="D94" i="3"/>
  <c r="D29" i="3"/>
  <c r="D20" i="3"/>
  <c r="E11" i="3"/>
  <c r="D21" i="3"/>
  <c r="B11" i="3"/>
  <c r="D28" i="3"/>
  <c r="A67" i="3"/>
  <c r="A68" i="3" s="1"/>
  <c r="F78" i="3"/>
  <c r="C11" i="3"/>
  <c r="D19" i="3"/>
  <c r="D23" i="3"/>
  <c r="D27" i="3"/>
  <c r="B64" i="3"/>
  <c r="C61" i="3" s="1"/>
  <c r="C64" i="3"/>
  <c r="F79" i="3"/>
  <c r="B113" i="3"/>
  <c r="D118" i="3" a="1"/>
  <c r="D118" i="3" s="1"/>
  <c r="B123" i="3"/>
  <c r="B147" i="3"/>
  <c r="C146" i="3" s="1"/>
  <c r="B152" i="3" s="1"/>
  <c r="F2" i="3"/>
  <c r="D24" i="3" l="1"/>
  <c r="D22" i="3"/>
  <c r="D25" i="3"/>
  <c r="C78" i="3"/>
  <c r="G78" i="3" s="1"/>
  <c r="C79" i="3"/>
  <c r="G79" i="3" s="1"/>
  <c r="C80" i="3"/>
  <c r="E86" i="3" s="1"/>
  <c r="C54" i="3"/>
  <c r="C62" i="3"/>
  <c r="C52" i="3"/>
  <c r="C55" i="3"/>
  <c r="D14" i="3"/>
  <c r="D13" i="3"/>
  <c r="C53" i="3"/>
  <c r="C145" i="3"/>
  <c r="A152" i="3" s="1"/>
  <c r="C60" i="3"/>
  <c r="E80" i="3"/>
  <c r="E14" i="3"/>
  <c r="E13" i="3"/>
  <c r="D96" i="3"/>
  <c r="D97" i="3"/>
  <c r="E77" i="3"/>
  <c r="G77" i="3"/>
  <c r="C67" i="3"/>
  <c r="B68" i="3"/>
  <c r="D67" i="3" s="1"/>
  <c r="G80" i="3"/>
  <c r="C63" i="3"/>
  <c r="C14" i="3"/>
  <c r="C13" i="3"/>
  <c r="B14" i="3"/>
  <c r="B13" i="3"/>
  <c r="B72" i="3"/>
  <c r="D71" i="3" s="1"/>
  <c r="C71" i="3"/>
  <c r="E83"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42C7B0-4FFB-4FAA-B0D5-CF1CAA9D1AD1}" keepAlive="1" name="Query - Dataset" description="Connection to the 'Dataset' query in the workbook." type="5" refreshedVersion="8" background="1">
    <dbPr connection="Provider=Microsoft.Mashup.OleDb.1;Data Source=$Workbook$;Location=Dataset;Extended Properties=&quot;&quot;" command="SELECT * FROM [Dataset]"/>
  </connection>
  <connection id="2" xr16:uid="{B12B014F-9A6F-44C1-86E4-309E24425F51}" keepAlive="1" name="Query - Dataset (2)" description="Connection to the 'Dataset (2)' query in the workbook." type="5" refreshedVersion="8" background="1" saveData="1">
    <dbPr connection="Provider=Microsoft.Mashup.OleDb.1;Data Source=$Workbook$;Location=&quot;Dataset (2)&quot;;Extended Properties=&quot;&quot;" command="SELECT * FROM [Dataset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<sst xmlns="http://schemas.openxmlformats.org/spreadsheetml/2006/main" count="4301" uniqueCount="648">
  <si>
    <t>Sum of Revenue</t>
  </si>
  <si>
    <t>Row Labels</t>
  </si>
  <si>
    <t>Grand Total</t>
  </si>
  <si>
    <t>2025</t>
  </si>
  <si>
    <t>Sum of Expenses</t>
  </si>
  <si>
    <t>Sum of Quantity</t>
  </si>
  <si>
    <t>Sum of Profit</t>
  </si>
  <si>
    <t>Count of Order_ID</t>
  </si>
  <si>
    <t>Total Revenue</t>
  </si>
  <si>
    <t>Total Expenses</t>
  </si>
  <si>
    <t>Total Quantity</t>
  </si>
  <si>
    <t>Total Profit</t>
  </si>
  <si>
    <t>Avg Order Value</t>
  </si>
  <si>
    <t>Column Labels</t>
  </si>
  <si>
    <t>Jan</t>
  </si>
  <si>
    <t>Feb</t>
  </si>
  <si>
    <t>Mar</t>
  </si>
  <si>
    <t>Apr</t>
  </si>
  <si>
    <t>May</t>
  </si>
  <si>
    <t>Jun</t>
  </si>
  <si>
    <t>Jul</t>
  </si>
  <si>
    <t>Aug</t>
  </si>
  <si>
    <t>Sep</t>
  </si>
  <si>
    <t>Oct</t>
  </si>
  <si>
    <t>Nov</t>
  </si>
  <si>
    <t>Dec</t>
  </si>
  <si>
    <t>Total Sum of Revenue</t>
  </si>
  <si>
    <t>Total Sum of Expenses</t>
  </si>
  <si>
    <t>Total Sum of Quantity</t>
  </si>
  <si>
    <t>Total Sum of Profit</t>
  </si>
  <si>
    <t>Total Count of Order_ID</t>
  </si>
  <si>
    <t>YoY Growth</t>
  </si>
  <si>
    <t>2024</t>
  </si>
  <si>
    <t>Renvenue 2024</t>
  </si>
  <si>
    <t>Renvenue 2025</t>
  </si>
  <si>
    <t>Expenses 2025</t>
  </si>
  <si>
    <t>Expenses 2024</t>
  </si>
  <si>
    <t>Quantity 2024</t>
  </si>
  <si>
    <t>Profit 2024</t>
  </si>
  <si>
    <t>Quantity 2025</t>
  </si>
  <si>
    <t>Profit 2025</t>
  </si>
  <si>
    <t>Positive</t>
  </si>
  <si>
    <t>Negative</t>
  </si>
  <si>
    <t>Profit</t>
  </si>
  <si>
    <t>Monthly Profit Trends</t>
  </si>
  <si>
    <t>[&gt;=1000000]$0.00,,"M";[&gt;=1000]$0.00,"K";0.00</t>
  </si>
  <si>
    <t>Cursor P</t>
  </si>
  <si>
    <t>Cusor Indent</t>
  </si>
  <si>
    <t>Month</t>
  </si>
  <si>
    <t>Sales</t>
  </si>
  <si>
    <t>Sales Plan</t>
  </si>
  <si>
    <t>Line Plan</t>
  </si>
  <si>
    <t>padding</t>
  </si>
  <si>
    <t>Cursor</t>
  </si>
  <si>
    <t>Marker</t>
  </si>
  <si>
    <t>JAN</t>
  </si>
  <si>
    <t>FEB</t>
  </si>
  <si>
    <t>MAR</t>
  </si>
  <si>
    <t>APR</t>
  </si>
  <si>
    <t>MAY</t>
  </si>
  <si>
    <t>JUN</t>
  </si>
  <si>
    <t>JUL</t>
  </si>
  <si>
    <t>AUG</t>
  </si>
  <si>
    <t>SEP</t>
  </si>
  <si>
    <t>OCT</t>
  </si>
  <si>
    <t>NOV</t>
  </si>
  <si>
    <t>DEC</t>
  </si>
  <si>
    <t>Sum of Sales_Target</t>
  </si>
  <si>
    <t>Midwest</t>
  </si>
  <si>
    <t>Northeast</t>
  </si>
  <si>
    <t>South</t>
  </si>
  <si>
    <t>West</t>
  </si>
  <si>
    <t>Accessories</t>
  </si>
  <si>
    <t>Appliances</t>
  </si>
  <si>
    <t>Furniture</t>
  </si>
  <si>
    <t>Office Supplies</t>
  </si>
  <si>
    <t>Technology</t>
  </si>
  <si>
    <t>Revenue</t>
  </si>
  <si>
    <t>Expenses</t>
  </si>
  <si>
    <t>Enterprise</t>
  </si>
  <si>
    <t>New</t>
  </si>
  <si>
    <t>Standard</t>
  </si>
  <si>
    <t>Corporate</t>
  </si>
  <si>
    <t>Returning</t>
  </si>
  <si>
    <t>Retail</t>
  </si>
  <si>
    <t>Consumer</t>
  </si>
  <si>
    <t>Express</t>
  </si>
  <si>
    <t>Revenue by Category</t>
  </si>
  <si>
    <t>Switch</t>
  </si>
  <si>
    <t xml:space="preserve"> =IF(D32,1,0)</t>
  </si>
  <si>
    <t>Revenue by Department</t>
  </si>
  <si>
    <t>Average of Expense_Ratio_%</t>
  </si>
  <si>
    <t>Average of Profit_Margin_%</t>
  </si>
  <si>
    <t>Average of Return_Rate_%</t>
  </si>
  <si>
    <t>Average of Discount_%</t>
  </si>
  <si>
    <t>Expense Ratio %</t>
  </si>
  <si>
    <t>X</t>
  </si>
  <si>
    <t>Y</t>
  </si>
  <si>
    <t>Profit Margin %</t>
  </si>
  <si>
    <t>Revenue by Region</t>
  </si>
  <si>
    <t>Split Regions</t>
  </si>
  <si>
    <t>Pading</t>
  </si>
  <si>
    <t>Sources</t>
  </si>
  <si>
    <t>Customer Type</t>
  </si>
  <si>
    <t>Monthly Revenue Trends</t>
  </si>
  <si>
    <t>%</t>
  </si>
  <si>
    <t>Revenue vs Expenses</t>
  </si>
  <si>
    <t>Cursor R</t>
  </si>
  <si>
    <t>Cursor E</t>
  </si>
  <si>
    <t>Revene by Category</t>
  </si>
  <si>
    <t>Monthly QTY Performance</t>
  </si>
  <si>
    <t>QTY</t>
  </si>
  <si>
    <t>indent</t>
  </si>
  <si>
    <t>Dia</t>
  </si>
  <si>
    <t>Avg Discount %</t>
  </si>
  <si>
    <t>Order Priority</t>
  </si>
  <si>
    <t>Cursors</t>
  </si>
  <si>
    <t>Order_ID</t>
  </si>
  <si>
    <t>Order_Date</t>
  </si>
  <si>
    <t>City</t>
  </si>
  <si>
    <t>Region</t>
  </si>
  <si>
    <t>Category</t>
  </si>
  <si>
    <t>Sub_Category</t>
  </si>
  <si>
    <t>Department</t>
  </si>
  <si>
    <t>Customer_Type</t>
  </si>
  <si>
    <t>Order_Priority</t>
  </si>
  <si>
    <t>Quantity</t>
  </si>
  <si>
    <t>Unit_Price</t>
  </si>
  <si>
    <t>Discount_%</t>
  </si>
  <si>
    <t>Gross_Sales</t>
  </si>
  <si>
    <t>Profit_Margin_%</t>
  </si>
  <si>
    <t>Expense_Ratio_%</t>
  </si>
  <si>
    <t>Sales_Target</t>
  </si>
  <si>
    <t>Target_Achievement_%</t>
  </si>
  <si>
    <t>Return_Qty</t>
  </si>
  <si>
    <t>Return_Rate_%</t>
  </si>
  <si>
    <t>ORD-00001</t>
  </si>
  <si>
    <t>Phoenix</t>
  </si>
  <si>
    <t>Bags</t>
  </si>
  <si>
    <t>ORD-00002</t>
  </si>
  <si>
    <t>Los Angeles</t>
  </si>
  <si>
    <t>Kitchen</t>
  </si>
  <si>
    <t>ORD-00003</t>
  </si>
  <si>
    <t>New York</t>
  </si>
  <si>
    <t>Chairs</t>
  </si>
  <si>
    <t>ORD-00004</t>
  </si>
  <si>
    <t>ORD-00005</t>
  </si>
  <si>
    <t>Laptops</t>
  </si>
  <si>
    <t>ORD-00006</t>
  </si>
  <si>
    <t>Miami</t>
  </si>
  <si>
    <t>ORD-00007</t>
  </si>
  <si>
    <t>Houston</t>
  </si>
  <si>
    <t>ORD-00008</t>
  </si>
  <si>
    <t>Phones</t>
  </si>
  <si>
    <t>ORD-00009</t>
  </si>
  <si>
    <t>ORD-00010</t>
  </si>
  <si>
    <t>ORD-00011</t>
  </si>
  <si>
    <t>ORD-00012</t>
  </si>
  <si>
    <t>ORD-00013</t>
  </si>
  <si>
    <t>ORD-00014</t>
  </si>
  <si>
    <t>ORD-00015</t>
  </si>
  <si>
    <t>Chicago</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</si>
  <si>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</si>
  <si>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</si>
  <si>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</si>
  <si>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</si>
  <si>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</si>
  <si>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</si>
  <si>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</si>
  <si>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</si>
  <si>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</si>
  <si>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</si>
  <si>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</si>
  <si>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</si>
  <si>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</si>
  <si>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</si>
  <si>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</si>
  <si>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</si>
  <si>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</si>
  <si>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</si>
  <si>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</si>
  <si>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</si>
  <si>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</si>
  <si>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Paper</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</si>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</sst>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_(&quot;$&quot;* #,##0.00_);_(&quot;$&quot;* \(#,##0.00\);_(&quot;$&quot;* &quot;-&quot;??_);_(@_)"/>
    <numFmt numFmtId="165" formatCode="_(* #,##0.00_);_(* \(#,##0.00\);_(* &quot;-&quot;??_);_(@_)"/>
    <numFmt numFmtId="166" formatCode="_(* #,##0_);_(* \(#,##0\);_(* &quot;-&quot;??_);_(@_)"/>
    <numFmt numFmtId="167" formatCode="[&gt;=1000000]&quot;$&quot;0.0,,&quot;M&quot;;[&gt;=1000]&quot;$&quot;0,&quot;K&quot;;&quot;$&quot;0"/>
    <numFmt numFmtId="168" formatCode="[Green]\▲\ 0.00%;[Red]\▼0.00%"/>
    <numFmt numFmtId="169" formatCode="&quot;$&quot;_(* #,##0_);_(* \(#,##0\);_(* &quot;-&quot;??_);_(@_)"/>
    <numFmt numFmtId="170" formatCode="[&gt;=1000000]&quot;$&quot;0.00,,&quot;M&quot;;[&gt;=1000]&quot;$&quot;0,&quot;K&quot;;0"/>
    <numFmt numFmtId="171" formatCode="&quot;$&quot;#,##0.00"/>
    <numFmt numFmtId="172" formatCode="_(&quot;$&quot;* #,##0_);_(&quot;$&quot;* \(#,##0\);_(&quot;$&quot;* &quot;-&quot;??_);_(@_)"/>
    <numFmt numFmtId="173" formatCode="0.000"/>
    <numFmt numFmtId="174" formatCode="[Green]\▲\ 0.0%;[Red]\▼0.0%"/>
  </numFmts>
  <fonts count="7"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i/>
      <sz val="11"/>
      <color theme="1"/>
      <name val="Calibri"/>
      <family val="2"/>
      <scheme val="minor"/>
    </font>
    <font>
      <sz val="11"/>
      <color theme="0"/>
      <name val="Calibri"/>
      <family val="2"/>
      <scheme val="minor"/>
    </font>
    <font>
      <sz val="14"/>
      <color rgb="FFFFE699"/>
      <name val="Calibri"/>
      <family val="2"/>
      <scheme val="minor"/>
    </font>
  </fonts>
  <fills count="3">
    <fill>
      <patternFill patternType="none"/>
    </fill>
    <fill>
      <patternFill patternType="gray125"/>
    </fill>
    <fill>
      <patternFill patternType="solid">
        <fgColor rgb="FF091A2C"/>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3D8ED9"/>
      </right>
      <top/>
      <bottom style="thin">
        <color rgb="FF3D8ED9"/>
      </bottom>
      <diagonal/>
    </border>
    <border>
      <left/>
      <right style="thin">
        <color rgb="FF3D8ED9"/>
      </right>
      <top style="thin">
        <color rgb="FF3D8ED9"/>
      </top>
      <bottom style="thin">
        <color rgb="FF3D8ED9"/>
      </bottom>
      <diagonal/>
    </border>
    <border>
      <left style="thin">
        <color rgb="FF3D8ED9"/>
      </left>
      <right style="thin">
        <color rgb="FF3D8ED9"/>
      </right>
      <top style="thin">
        <color rgb="FF3D8ED9"/>
      </top>
      <bottom style="thin">
        <color rgb="FF3D8ED9"/>
      </bottom>
      <diagonal/>
    </border>
    <border>
      <left style="thin">
        <color rgb="FF3D8ED9"/>
      </left>
      <right/>
      <top style="thin">
        <color rgb="FF3D8ED9"/>
      </top>
      <bottom/>
      <diagonal/>
    </border>
    <border>
      <left style="thin">
        <color rgb="FF3D8ED9"/>
      </left>
      <right style="thin">
        <color rgb="FF3D8ED9"/>
      </right>
      <top/>
      <bottom style="thin">
        <color rgb="FF3D8ED9"/>
      </bottom>
      <diagonal/>
    </border>
    <border>
      <left style="thin">
        <color rgb="FF3D8ED9"/>
      </left>
      <right/>
      <top/>
      <bottom style="thin">
        <color rgb="FF3D8ED9"/>
      </bottom>
      <diagonal/>
    </border>
    <border>
      <left style="thin">
        <color rgb="FF3D8ED9"/>
      </left>
      <right/>
      <top style="thin">
        <color rgb="FF3D8ED9"/>
      </top>
      <bottom style="thin">
        <color rgb="FF3D8ED9"/>
      </bottom>
      <diagonal/>
    </border>
    <border>
      <left/>
      <right style="thin">
        <color rgb="FF3D8ED9"/>
      </right>
      <top style="thin">
        <color rgb="FF3D8ED9"/>
      </top>
      <bottom/>
      <diagonal/>
    </border>
    <border>
      <left style="thin">
        <color rgb="FF3D8ED9"/>
      </left>
      <right style="thin">
        <color rgb="FF3D8ED9"/>
      </right>
      <top style="thin">
        <color rgb="FF3D8ED9"/>
      </top>
      <bottom/>
      <diagonal/>
    </border>
  </borders>
  <cellStyleXfs count="4">
    <xf numFmtId="0" fontId="0" fillId="0" borderId="0"/>
    <xf numFmtId="165"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cellStyleXfs>
  <cellXfs count="55">
    <xf numFmtId="0" fontId="0" fillId="0" borderId="0" xfId="0"/>
    <xf numFmtId="0" fontId="0" fillId="0" borderId="0" xfId="0" pivotButton="1"/>
    <xf numFmtId="0" fontId="0" fillId="0" borderId="0" xfId="0" applyAlignment="1">
      <alignment horizontal="left"/>
    </xf>
    <xf numFmtId="166" fontId="0" fillId="0" borderId="0" xfId="0" applyNumberFormat="1"/>
    <xf numFmtId="166" fontId="0" fillId="0" borderId="0" xfId="1" applyNumberFormat="1" applyFont="1"/>
    <xf numFmtId="9" fontId="0" fillId="0" borderId="0" xfId="2" applyFont="1"/>
    <xf numFmtId="0" fontId="2" fillId="0" borderId="1" xfId="0" applyFont="1" applyBorder="1"/>
    <xf numFmtId="167" fontId="0" fillId="0" borderId="0" xfId="0" applyNumberFormat="1"/>
    <xf numFmtId="168" fontId="0" fillId="0" borderId="0" xfId="2" applyNumberFormat="1" applyFont="1"/>
    <xf numFmtId="168" fontId="0" fillId="0" borderId="1" xfId="2" applyNumberFormat="1" applyFont="1" applyBorder="1"/>
    <xf numFmtId="169" fontId="0" fillId="0" borderId="0" xfId="1" applyNumberFormat="1" applyFont="1"/>
    <xf numFmtId="170" fontId="0" fillId="0" borderId="0" xfId="1" applyNumberFormat="1" applyFont="1"/>
    <xf numFmtId="171" fontId="0" fillId="0" borderId="0" xfId="0" applyNumberFormat="1"/>
    <xf numFmtId="0" fontId="2" fillId="0" borderId="0" xfId="0" applyFont="1" applyAlignment="1">
      <alignment horizontal="center"/>
    </xf>
    <xf numFmtId="0" fontId="2" fillId="0" borderId="0" xfId="0" applyFont="1"/>
    <xf numFmtId="0" fontId="0" fillId="0" borderId="0" xfId="0" applyAlignment="1">
      <alignment horizontal="center"/>
    </xf>
    <xf numFmtId="9" fontId="0" fillId="0" borderId="0" xfId="2" applyFont="1" applyAlignment="1">
      <alignment horizontal="center"/>
    </xf>
    <xf numFmtId="14" fontId="2" fillId="0" borderId="0" xfId="0" applyNumberFormat="1" applyFont="1" applyAlignment="1">
      <alignment horizontal="center"/>
    </xf>
    <xf numFmtId="0" fontId="4" fillId="0" borderId="0" xfId="0" applyFont="1" applyAlignment="1">
      <alignment horizontal="center"/>
    </xf>
    <xf numFmtId="172" fontId="0" fillId="0" borderId="0" xfId="3" applyNumberFormat="1" applyFont="1"/>
    <xf numFmtId="9" fontId="0" fillId="0" borderId="0" xfId="0" applyNumberFormat="1" applyAlignment="1">
      <alignment horizontal="center"/>
    </xf>
    <xf numFmtId="1" fontId="0" fillId="0" borderId="0" xfId="0" applyNumberFormat="1"/>
    <xf numFmtId="1" fontId="0" fillId="0" borderId="0" xfId="0" applyNumberFormat="1" applyAlignment="1">
      <alignment horizontal="center"/>
    </xf>
    <xf numFmtId="0" fontId="2" fillId="0" borderId="0" xfId="2" applyNumberFormat="1" applyFont="1" applyAlignment="1">
      <alignment horizontal="center" vertical="center"/>
    </xf>
    <xf numFmtId="0" fontId="2" fillId="0" borderId="0" xfId="0" applyFont="1" applyAlignment="1">
      <alignment horizontal="center" vertical="center"/>
    </xf>
    <xf numFmtId="172" fontId="0" fillId="0" borderId="0" xfId="0" applyNumberFormat="1"/>
    <xf numFmtId="172" fontId="2" fillId="0" borderId="0" xfId="0" applyNumberFormat="1" applyFont="1"/>
    <xf numFmtId="9" fontId="0" fillId="0" borderId="0" xfId="0" applyNumberFormat="1"/>
    <xf numFmtId="170" fontId="2" fillId="0" borderId="0" xfId="0" applyNumberFormat="1" applyFont="1"/>
    <xf numFmtId="9" fontId="0" fillId="0" borderId="2" xfId="2" applyFont="1" applyBorder="1" applyAlignment="1">
      <alignment horizontal="center"/>
    </xf>
    <xf numFmtId="0" fontId="0" fillId="0" borderId="1" xfId="0" applyBorder="1" applyAlignment="1">
      <alignment horizontal="center"/>
    </xf>
    <xf numFmtId="173" fontId="0" fillId="0" borderId="1" xfId="0" applyNumberFormat="1" applyBorder="1" applyAlignment="1">
      <alignment horizontal="center"/>
    </xf>
    <xf numFmtId="2" fontId="0" fillId="0" borderId="1" xfId="0" applyNumberFormat="1" applyBorder="1" applyAlignment="1">
      <alignment horizontal="center"/>
    </xf>
    <xf numFmtId="10" fontId="2" fillId="0" borderId="0" xfId="0" applyNumberFormat="1" applyFont="1"/>
    <xf numFmtId="0" fontId="2" fillId="0" borderId="3" xfId="0" applyFont="1" applyBorder="1"/>
    <xf numFmtId="0" fontId="0" fillId="0" borderId="4" xfId="0" applyBorder="1"/>
    <xf numFmtId="9" fontId="0" fillId="0" borderId="0" xfId="2" applyFont="1" applyAlignment="1">
      <alignment horizontal="center" vertical="center"/>
    </xf>
    <xf numFmtId="172" fontId="2" fillId="0" borderId="0" xfId="3" applyNumberFormat="1" applyFont="1"/>
    <xf numFmtId="174" fontId="0" fillId="0" borderId="0" xfId="0" applyNumberFormat="1"/>
    <xf numFmtId="166" fontId="2" fillId="0" borderId="0" xfId="1" applyNumberFormat="1" applyFont="1"/>
    <xf numFmtId="0" fontId="0" fillId="0" borderId="2" xfId="0" applyBorder="1" applyAlignment="1">
      <alignment horizontal="center"/>
    </xf>
    <xf numFmtId="0" fontId="2" fillId="0" borderId="1" xfId="0" applyFont="1" applyBorder="1" applyAlignment="1">
      <alignment horizontal="center" vertical="center"/>
    </xf>
    <xf numFmtId="0" fontId="0" fillId="0" borderId="1" xfId="0" applyBorder="1" applyAlignment="1">
      <alignment horizontal="center" vertical="center"/>
    </xf>
    <xf numFmtId="0" fontId="0" fillId="2" borderId="0" xfId="0" applyFill="1"/>
    <xf numFmtId="0" fontId="6" fillId="2" borderId="5" xfId="0" applyFont="1" applyFill="1" applyBorder="1" applyAlignment="1">
      <alignment horizontal="center"/>
    </xf>
    <xf numFmtId="0" fontId="5" fillId="2" borderId="6" xfId="0" applyFont="1" applyFill="1" applyBorder="1"/>
    <xf numFmtId="0" fontId="6" fillId="2" borderId="9" xfId="0" applyFont="1" applyFill="1" applyBorder="1" applyAlignment="1">
      <alignment horizontal="center"/>
    </xf>
    <xf numFmtId="0" fontId="6" fillId="2" borderId="10" xfId="0" applyFont="1" applyFill="1" applyBorder="1" applyAlignment="1">
      <alignment horizontal="center"/>
    </xf>
    <xf numFmtId="14" fontId="5" fillId="2" borderId="7" xfId="0" applyNumberFormat="1" applyFont="1" applyFill="1" applyBorder="1"/>
    <xf numFmtId="0" fontId="5" fillId="2" borderId="7" xfId="0" applyFont="1" applyFill="1" applyBorder="1"/>
    <xf numFmtId="0" fontId="5" fillId="2" borderId="11" xfId="0" applyFont="1" applyFill="1" applyBorder="1"/>
    <xf numFmtId="0" fontId="5" fillId="2" borderId="12" xfId="0" applyFont="1" applyFill="1" applyBorder="1"/>
    <xf numFmtId="14" fontId="5" fillId="2" borderId="13" xfId="0" applyNumberFormat="1" applyFont="1" applyFill="1" applyBorder="1"/>
    <xf numFmtId="0" fontId="5" fillId="2" borderId="13" xfId="0" applyFont="1" applyFill="1" applyBorder="1"/>
    <xf numFmtId="0" fontId="5" fillId="2" borderId="8" xfId="0" applyFont="1" applyFill="1" applyBorder="1"/>
  </cellXfs>
  <cellStyles count="4">
    <cellStyle name="Milliers" xfId="1" builtinId="3"/>
    <cellStyle name="Monétaire" xfId="3" builtinId="4"/>
    <cellStyle name="Normal" xfId="0" builtinId="0"/>
    <cellStyle name="Pourcentage" xfId="2" builtinId="5"/>
  </cellStyles>
  <dxfs count="48">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numFmt numFmtId="175" formatCode="m/d/yyyy"/>
      <fill>
        <patternFill patternType="solid">
          <fgColor indexed="64"/>
          <bgColor rgb="FF091A2C"/>
        </patternFill>
      </fill>
      <border diagonalUp="0" diagonalDown="0">
        <left style="thin">
          <color rgb="FF3D8ED9"/>
        </left>
        <right style="thin">
          <color rgb="FF3D8ED9"/>
        </right>
        <top style="thin">
          <color rgb="FF3D8ED9"/>
        </top>
        <bottom style="thin">
          <color rgb="FF3D8ED9"/>
        </bottom>
        <vertical style="thin">
          <color rgb="FF3D8ED9"/>
        </vertical>
        <horizontal style="thin">
          <color rgb="FF3D8ED9"/>
        </horizontal>
      </border>
    </dxf>
    <dxf>
      <font>
        <strike val="0"/>
        <outline val="0"/>
        <shadow val="0"/>
        <u val="none"/>
        <vertAlign val="baseline"/>
        <sz val="11"/>
        <color theme="0"/>
        <name val="Calibri"/>
        <family val="2"/>
        <scheme val="minor"/>
      </font>
      <numFmt numFmtId="0" formatCode="General"/>
      <fill>
        <patternFill patternType="solid">
          <fgColor indexed="64"/>
          <bgColor rgb="FF091A2C"/>
        </patternFill>
      </fill>
      <border diagonalUp="0" diagonalDown="0">
        <left/>
        <right style="thin">
          <color rgb="FF3D8ED9"/>
        </right>
        <top style="thin">
          <color rgb="FF3D8ED9"/>
        </top>
        <bottom style="thin">
          <color rgb="FF3D8ED9"/>
        </bottom>
        <vertical style="thin">
          <color rgb="FF3D8ED9"/>
        </vertical>
        <horizontal style="thin">
          <color rgb="FF3D8ED9"/>
        </horizontal>
      </border>
    </dxf>
    <dxf>
      <border>
        <top style="thin">
          <color rgb="FF3D8ED9"/>
        </top>
      </border>
    </dxf>
    <dxf>
      <border diagonalUp="0" diagonalDown="0">
        <left style="thin">
          <color rgb="FF3D8ED9"/>
        </left>
        <right style="thin">
          <color rgb="FF3D8ED9"/>
        </right>
        <top style="thin">
          <color rgb="FF3D8ED9"/>
        </top>
        <bottom style="thin">
          <color rgb="FF3D8ED9"/>
        </bottom>
      </border>
    </dxf>
    <dxf>
      <font>
        <strike val="0"/>
        <outline val="0"/>
        <shadow val="0"/>
        <u val="none"/>
        <vertAlign val="baseline"/>
        <sz val="11"/>
        <color theme="0"/>
        <name val="Calibri"/>
        <family val="2"/>
        <scheme val="minor"/>
      </font>
      <fill>
        <patternFill patternType="solid">
          <fgColor indexed="64"/>
          <bgColor rgb="FF091A2C"/>
        </patternFill>
      </fill>
    </dxf>
    <dxf>
      <border>
        <bottom style="thin">
          <color rgb="FF3D8ED9"/>
        </bottom>
      </border>
    </dxf>
    <dxf>
      <font>
        <b val="0"/>
        <i val="0"/>
        <strike val="0"/>
        <condense val="0"/>
        <extend val="0"/>
        <outline val="0"/>
        <shadow val="0"/>
        <u val="none"/>
        <vertAlign val="baseline"/>
        <sz val="14"/>
        <color rgb="FFFFE699"/>
        <name val="Calibri"/>
        <family val="2"/>
        <scheme val="minor"/>
      </font>
      <fill>
        <patternFill patternType="solid">
          <fgColor indexed="64"/>
          <bgColor rgb="FF091A2C"/>
        </patternFill>
      </fill>
      <alignment horizontal="center" vertical="bottom" textRotation="0" wrapText="0" indent="0" justifyLastLine="0" shrinkToFit="0" readingOrder="0"/>
      <border diagonalUp="0" diagonalDown="0">
        <left style="thin">
          <color rgb="FF3D8ED9"/>
        </left>
        <right style="thin">
          <color rgb="FF3D8ED9"/>
        </right>
        <top/>
        <bottom/>
        <vertical style="thin">
          <color rgb="FF3D8ED9"/>
        </vertical>
        <horizontal style="thin">
          <color rgb="FF3D8ED9"/>
        </horizontal>
      </border>
    </dxf>
    <dxf>
      <numFmt numFmtId="1" formatCode="0"/>
    </dxf>
    <dxf>
      <numFmt numFmtId="13" formatCode="0%"/>
    </dxf>
    <dxf>
      <numFmt numFmtId="13" formatCode="0%"/>
    </dxf>
    <dxf>
      <numFmt numFmtId="13" formatCode="0%"/>
    </dxf>
    <dxf>
      <numFmt numFmtId="13" formatCode="0%"/>
    </dxf>
    <dxf>
      <numFmt numFmtId="166" formatCode="_(* #,##0_);_(* \(#,##0\);_(* &quot;-&quot;??_);_(@_)"/>
    </dxf>
    <dxf>
      <numFmt numFmtId="1" formatCode="0"/>
    </dxf>
    <dxf>
      <numFmt numFmtId="1" formatCode="0"/>
    </dxf>
    <dxf>
      <numFmt numFmtId="1" formatCode="0"/>
    </dxf>
    <dxf>
      <font>
        <b/>
        <color theme="1"/>
      </font>
      <border>
        <bottom style="thin">
          <color theme="4"/>
        </bottom>
        <vertical/>
        <horizontal/>
      </border>
    </dxf>
    <dxf>
      <font>
        <color theme="1"/>
      </font>
      <fill>
        <patternFill>
          <bgColor rgb="FF080614"/>
        </patternFill>
      </fill>
      <border diagonalUp="0" diagonalDown="0">
        <left/>
        <right/>
        <top/>
        <bottom/>
        <vertical/>
        <horizontal/>
      </border>
    </dxf>
    <dxf>
      <font>
        <b/>
        <color theme="1"/>
      </font>
      <border>
        <bottom style="thin">
          <color theme="4"/>
        </bottom>
        <vertical/>
        <horizontal/>
      </border>
    </dxf>
    <dxf>
      <font>
        <color theme="1"/>
      </font>
      <fill>
        <patternFill>
          <bgColor rgb="FF0A002F"/>
        </patternFill>
      </fill>
      <border diagonalUp="0" diagonalDown="0">
        <left/>
        <right/>
        <top/>
        <bottom/>
        <vertical/>
        <horizontal/>
      </border>
    </dxf>
    <dxf>
      <font>
        <b/>
        <color theme="1"/>
      </font>
      <border>
        <bottom style="thin">
          <color theme="4"/>
        </bottom>
        <vertical/>
        <horizontal/>
      </border>
    </dxf>
    <dxf>
      <font>
        <sz val="8"/>
        <color theme="1"/>
      </font>
      <fill>
        <patternFill>
          <bgColor rgb="FF140C2E"/>
        </patternFill>
      </fill>
      <border diagonalUp="0" diagonalDown="0">
        <left/>
        <right/>
        <top/>
        <bottom/>
        <vertical/>
        <horizontal/>
      </border>
    </dxf>
    <dxf>
      <font>
        <b/>
        <color theme="1"/>
      </font>
      <border>
        <bottom style="thin">
          <color theme="4"/>
        </bottom>
        <vertical/>
        <horizontal/>
      </border>
    </dxf>
    <dxf>
      <font>
        <sz val="8"/>
        <color theme="1"/>
      </font>
      <fill>
        <patternFill>
          <bgColor rgb="FF1D202F"/>
        </patternFill>
      </fill>
      <border diagonalUp="0" diagonalDown="0">
        <left/>
        <right/>
        <top/>
        <bottom/>
        <vertical/>
        <horizontal/>
      </border>
    </dxf>
    <dxf>
      <font>
        <b/>
        <color theme="1"/>
      </font>
      <border>
        <bottom style="thin">
          <color theme="4"/>
        </bottom>
        <vertical/>
        <horizontal/>
      </border>
    </dxf>
    <dxf>
      <font>
        <sz val="8"/>
        <color theme="1"/>
      </font>
      <fill>
        <patternFill>
          <bgColor rgb="FF080614"/>
        </patternFill>
      </fill>
      <border diagonalUp="0" diagonalDown="0">
        <left/>
        <right/>
        <top/>
        <bottom/>
        <vertical/>
        <horizontal/>
      </border>
    </dxf>
    <dxf>
      <font>
        <b/>
        <color theme="1"/>
      </font>
      <border>
        <bottom style="thin">
          <color theme="4"/>
        </bottom>
        <vertical/>
        <horizontal/>
      </border>
    </dxf>
    <dxf>
      <font>
        <sz val="8"/>
        <color theme="1"/>
      </font>
      <fill>
        <patternFill>
          <bgColor rgb="FF1D202F"/>
        </patternFill>
      </fill>
      <border diagonalUp="0" diagonalDown="0">
        <left/>
        <right/>
        <top/>
        <bottom/>
        <vertical/>
        <horizontal/>
      </border>
    </dxf>
  </dxfs>
  <tableStyles count="6" defaultTableStyle="TableStyleMedium2" defaultPivotStyle="PivotStyleLight16">
    <tableStyle name="SlicerStyleLight1 2 2" pivot="0" table="0" count="10" xr9:uid="{FECB85A4-7C4D-414E-9FDB-259454C577BD}">
      <tableStyleElement type="wholeTable" dxfId="47"/>
      <tableStyleElement type="headerRow" dxfId="46"/>
    </tableStyle>
    <tableStyle name="SlicerStyleLight1 2 2 2" pivot="0" table="0" count="10" xr9:uid="{7017BF36-AFAA-46DF-96B8-CC9D80353ECA}">
      <tableStyleElement type="wholeTable" dxfId="45"/>
      <tableStyleElement type="headerRow" dxfId="44"/>
    </tableStyle>
    <tableStyle name="SlicerStyleLight1 2 2 2 2" pivot="0" table="0" count="10" xr9:uid="{48ADF061-ECE0-49D1-A80B-0FED0087077C}">
      <tableStyleElement type="wholeTable" dxfId="43"/>
      <tableStyleElement type="headerRow" dxfId="42"/>
    </tableStyle>
    <tableStyle name="SlicerStyleLight1 2 2 3" pivot="0" table="0" count="10" xr9:uid="{6492D07B-D1B1-4A4B-9D0E-B9157374C6EF}">
      <tableStyleElement type="wholeTable" dxfId="41"/>
      <tableStyleElement type="headerRow" dxfId="40"/>
    </tableStyle>
    <tableStyle name="SlicerStyleLight1 2 3" pivot="0" table="0" count="10" xr9:uid="{CA420AB9-FAD9-45EB-BDFD-8348E3C1745C}">
      <tableStyleElement type="wholeTable" dxfId="39"/>
      <tableStyleElement type="headerRow" dxfId="38"/>
    </tableStyle>
    <tableStyle name="SlicerStyleLight1 2 3 2" pivot="0" table="0" count="10" xr9:uid="{B3E41193-FC9D-4979-B07D-87011D5AEFFC}">
      <tableStyleElement type="wholeTable" dxfId="37"/>
      <tableStyleElement type="headerRow" dxfId="36"/>
    </tableStyle>
  </tableStyles>
  <colors>
    <mruColors>
      <color rgb="FF3D8ED9"/>
      <color rgb="FF091A2C"/>
      <color rgb="FF02C7B3"/>
      <color rgb="FF3DBEFF"/>
      <color rgb="FFDAE3F3"/>
      <color rgb="FF4472C4"/>
      <color rgb="FF8158DA"/>
      <color rgb="FF545C8A"/>
      <color rgb="FFFF3399"/>
      <color rgb="FF97A5D1"/>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00B0F0"/>
              </stop>
              <stop position="1">
                <color rgb="FFCC00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3" tint="0.749961851863155"/>
          </font>
          <fill>
            <patternFill patternType="solid">
              <fgColor rgb="FFFFFFFF"/>
              <bgColor rgb="FF0F0046"/>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00B0F0"/>
              </stop>
              <stop position="1">
                <color rgb="FFCC00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3" tint="0.749961851863155"/>
          </font>
          <fill>
            <patternFill patternType="solid">
              <fgColor rgb="FFFFFFFF"/>
              <bgColor rgb="FF0F0046"/>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0077FF"/>
              </stop>
              <stop position="1">
                <color rgb="FF02BCFA"/>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0077FF"/>
          </font>
          <fill>
            <patternFill patternType="solid">
              <fgColor rgb="FFFFFFFF"/>
              <bgColor rgb="FF262E48"/>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font>
          <fill>
            <gradientFill degree="90">
              <stop position="0">
                <color rgb="FF0077FF"/>
              </stop>
              <stop position="1">
                <color rgb="FF02BCFA"/>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2"/>
            <color rgb="FF0077FF"/>
          </font>
          <fill>
            <patternFill patternType="solid">
              <fgColor rgb="FFFFFFFF"/>
              <bgColor rgb="FF262E48"/>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0077FF"/>
              </stop>
              <stop position="1">
                <color rgb="FF02BCFA"/>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0077FF"/>
          </font>
          <fill>
            <patternFill patternType="solid">
              <fgColor rgb="FFFFFFFF"/>
              <bgColor rgb="FF262E48"/>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0077FF"/>
              </stop>
              <stop position="1">
                <color rgb="FF02BCFA"/>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0077FF"/>
          </font>
          <fill>
            <patternFill patternType="solid">
              <fgColor rgb="FFFFFFFF"/>
              <bgColor rgb="FF262E48"/>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2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image" Target="../media/image2.png"/></Relationships>
</file>

<file path=xl/charts/_rels/chart1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2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2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gradFill>
              <a:gsLst>
                <a:gs pos="5000">
                  <a:srgbClr val="5B20BA"/>
                </a:gs>
                <a:gs pos="100000">
                  <a:srgbClr val="7634DC"/>
                </a:gs>
              </a:gsLst>
              <a:lin ang="5400000" scaled="1"/>
            </a:gradFill>
            <a:ln w="107950">
              <a:gradFill>
                <a:gsLst>
                  <a:gs pos="14000">
                    <a:srgbClr val="5B20BA"/>
                  </a:gs>
                  <a:gs pos="100000">
                    <a:srgbClr val="7634DC"/>
                  </a:gs>
                </a:gsLst>
                <a:lin ang="5400000" scaled="1"/>
              </a:grad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[&gt;=1000000]"$"0.00\ \ "M";[&gt;=1000]"$"0\ "K";0</c:formatCode>
                <c:ptCount val="12"/>
                <c:pt idx="0">
                  <c:v>10643.660000000002</c:v>
                </c:pt>
                <c:pt idx="1">
                  <c:v>19235.100000000002</c:v>
                </c:pt>
                <c:pt idx="2">
                  <c:v>9731.260000000002</c:v>
                </c:pt>
                <c:pt idx="3">
                  <c:v>14386.62</c:v>
                </c:pt>
                <c:pt idx="4">
                  <c:v>9729.0699999999979</c:v>
                </c:pt>
                <c:pt idx="5">
                  <c:v>9734.61</c:v>
                </c:pt>
                <c:pt idx="6">
                  <c:v>14599.379999999994</c:v>
                </c:pt>
                <c:pt idx="7">
                  <c:v>11460.12</c:v>
                </c:pt>
                <c:pt idx="8">
                  <c:v>11288.62</c:v>
                </c:pt>
                <c:pt idx="9">
                  <c:v>6645.08</c:v>
                </c:pt>
                <c:pt idx="10">
                  <c:v>15178.620000000003</c:v>
                </c:pt>
                <c:pt idx="11">
                  <c:v>11535.65</c:v>
                </c:pt>
              </c:numCache>
            </c:numRef>
          </c:val>
          <c:extLst>
            <c:ext xmlns:c16="http://schemas.microsoft.com/office/drawing/2014/chart" uri="{C3380CC4-5D6E-409C-BE32-E72D297353CC}">
              <c16:uniqueId val="{00000000-9017-4840-8D15-134F4503199A}"/>
            </c:ext>
          </c:extLst>
        </c:ser>
        <c:dLbls>
          <c:showLegendKey val="0"/>
          <c:showVal val="0"/>
          <c:showCatName val="0"/>
          <c:showSerName val="0"/>
          <c:showPercent val="0"/>
          <c:showBubbleSize val="0"/>
        </c:dLbls>
        <c:gapWidth val="80"/>
        <c:overlap val="100"/>
        <c:axId val="656207119"/>
        <c:axId val="656205679"/>
      </c:barChart>
      <c:barChart>
        <c:barDir val="col"/>
        <c:grouping val="stacked"/>
        <c:varyColors val="0"/>
        <c:ser>
          <c:idx val="1"/>
          <c:order val="1"/>
          <c:spPr>
            <a:gradFill>
              <a:gsLst>
                <a:gs pos="5000">
                  <a:srgbClr val="A23CF4"/>
                </a:gs>
                <a:gs pos="100000">
                  <a:srgbClr val="C484F8"/>
                </a:gs>
              </a:gsLst>
              <a:lin ang="5400000" scaled="1"/>
            </a:gradFill>
            <a:ln w="107950">
              <a:gradFill>
                <a:gsLst>
                  <a:gs pos="9000">
                    <a:srgbClr val="A23CF4"/>
                  </a:gs>
                  <a:gs pos="100000">
                    <a:srgbClr val="C484F8"/>
                  </a:gs>
                </a:gsLst>
                <a:lin ang="5400000" scaled="1"/>
              </a:grad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Processing!$C$18:$C$29</c:f>
              <c:numCache>
                <c:formatCode>[&gt;=1000000]"$"0.00\ \ "M";[&gt;=1000]"$"0\ "K";0</c:formatCode>
                <c:ptCount val="12"/>
                <c:pt idx="0">
                  <c:v>10643.660000000002</c:v>
                </c:pt>
                <c:pt idx="1">
                  <c:v>19235.100000000002</c:v>
                </c:pt>
                <c:pt idx="2">
                  <c:v>9731.260000000002</c:v>
                </c:pt>
                <c:pt idx="3">
                  <c:v>14386.62</c:v>
                </c:pt>
                <c:pt idx="4">
                  <c:v>9729.0699999999979</c:v>
                </c:pt>
                <c:pt idx="5">
                  <c:v>9734.61</c:v>
                </c:pt>
                <c:pt idx="6">
                  <c:v>14599.379999999994</c:v>
                </c:pt>
                <c:pt idx="7">
                  <c:v>11460.12</c:v>
                </c:pt>
                <c:pt idx="8">
                  <c:v>11288.62</c:v>
                </c:pt>
                <c:pt idx="9">
                  <c:v>6645.08</c:v>
                </c:pt>
                <c:pt idx="10">
                  <c:v>15178.620000000003</c:v>
                </c:pt>
                <c:pt idx="11" formatCode="[&gt;=1000000]&quot;$&quot;0.0\ \ &quot;M&quot;;[&gt;=1000]&quot;$&quot;0\ &quot;K&quot;;&quot;$&quot;0">
                  <c:v>11535.65</c:v>
                </c:pt>
              </c:numCache>
            </c:numRef>
          </c:val>
          <c:extLst>
            <c:ext xmlns:c16="http://schemas.microsoft.com/office/drawing/2014/chart" uri="{C3380CC4-5D6E-409C-BE32-E72D297353CC}">
              <c16:uniqueId val="{00000001-9017-4840-8D15-134F4503199A}"/>
            </c:ext>
          </c:extLst>
        </c:ser>
        <c:ser>
          <c:idx val="2"/>
          <c:order val="2"/>
          <c:spPr>
            <a:noFill/>
            <a:ln>
              <a:noFill/>
            </a:ln>
            <a:effectLst/>
          </c:spPr>
          <c:invertIfNegative val="0"/>
          <c:dLbls>
            <c:dLbl>
              <c:idx val="0"/>
              <c:tx>
                <c:rich>
                  <a:bodyPr/>
                  <a:lstStyle/>
                  <a:p>
                    <a:fld id="{E6D571FF-553B-487C-AC6B-FDDDF4D4C992}"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017-4840-8D15-134F4503199A}"/>
                </c:ext>
              </c:extLst>
            </c:dLbl>
            <c:dLbl>
              <c:idx val="1"/>
              <c:tx>
                <c:rich>
                  <a:bodyPr/>
                  <a:lstStyle/>
                  <a:p>
                    <a:fld id="{8DFA9479-271A-4E5D-857C-62A684037A39}"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017-4840-8D15-134F4503199A}"/>
                </c:ext>
              </c:extLst>
            </c:dLbl>
            <c:dLbl>
              <c:idx val="2"/>
              <c:tx>
                <c:rich>
                  <a:bodyPr/>
                  <a:lstStyle/>
                  <a:p>
                    <a:fld id="{93D4ED14-7B93-423E-88C8-4A475FA05792}"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017-4840-8D15-134F4503199A}"/>
                </c:ext>
              </c:extLst>
            </c:dLbl>
            <c:dLbl>
              <c:idx val="3"/>
              <c:tx>
                <c:rich>
                  <a:bodyPr/>
                  <a:lstStyle/>
                  <a:p>
                    <a:fld id="{6EA47E58-5AE1-435E-879D-412637DE1973}"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017-4840-8D15-134F4503199A}"/>
                </c:ext>
              </c:extLst>
            </c:dLbl>
            <c:dLbl>
              <c:idx val="4"/>
              <c:tx>
                <c:rich>
                  <a:bodyPr/>
                  <a:lstStyle/>
                  <a:p>
                    <a:fld id="{F7A5F145-4D0D-4B45-A8F3-4A878200472E}"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017-4840-8D15-134F4503199A}"/>
                </c:ext>
              </c:extLst>
            </c:dLbl>
            <c:dLbl>
              <c:idx val="5"/>
              <c:tx>
                <c:rich>
                  <a:bodyPr/>
                  <a:lstStyle/>
                  <a:p>
                    <a:fld id="{307D9AC8-2C6F-42A8-A8DE-1713E7678324}"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017-4840-8D15-134F4503199A}"/>
                </c:ext>
              </c:extLst>
            </c:dLbl>
            <c:dLbl>
              <c:idx val="6"/>
              <c:tx>
                <c:rich>
                  <a:bodyPr/>
                  <a:lstStyle/>
                  <a:p>
                    <a:fld id="{31C2D50D-7692-4C95-9A87-CFD7C89909E1}"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017-4840-8D15-134F4503199A}"/>
                </c:ext>
              </c:extLst>
            </c:dLbl>
            <c:dLbl>
              <c:idx val="7"/>
              <c:tx>
                <c:rich>
                  <a:bodyPr/>
                  <a:lstStyle/>
                  <a:p>
                    <a:fld id="{3547AC44-09D2-481F-B509-DA82DB111142}"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017-4840-8D15-134F4503199A}"/>
                </c:ext>
              </c:extLst>
            </c:dLbl>
            <c:dLbl>
              <c:idx val="8"/>
              <c:tx>
                <c:rich>
                  <a:bodyPr/>
                  <a:lstStyle/>
                  <a:p>
                    <a:fld id="{64FDB9FF-6DE3-4DFC-99FE-549E68F55490}"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017-4840-8D15-134F4503199A}"/>
                </c:ext>
              </c:extLst>
            </c:dLbl>
            <c:dLbl>
              <c:idx val="9"/>
              <c:tx>
                <c:rich>
                  <a:bodyPr/>
                  <a:lstStyle/>
                  <a:p>
                    <a:fld id="{CC15AF59-057F-4D5C-8912-9648774C37B6}"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017-4840-8D15-134F4503199A}"/>
                </c:ext>
              </c:extLst>
            </c:dLbl>
            <c:dLbl>
              <c:idx val="10"/>
              <c:tx>
                <c:rich>
                  <a:bodyPr/>
                  <a:lstStyle/>
                  <a:p>
                    <a:fld id="{14BD70CF-BC7B-4F44-BED9-00AF94396702}"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017-4840-8D15-134F4503199A}"/>
                </c:ext>
              </c:extLst>
            </c:dLbl>
            <c:dLbl>
              <c:idx val="11"/>
              <c:tx>
                <c:rich>
                  <a:bodyPr/>
                  <a:lstStyle/>
                  <a:p>
                    <a:fld id="{7E042494-103B-4DCA-A148-FDB0DECC0FBE}"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017-4840-8D15-134F450319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Processing!$D$18:$D$29</c:f>
              <c:numCache>
                <c:formatCode>[&gt;=1000000]"$"0.00\ \ "M";[&gt;=1000]"$"0\ "K";0</c:formatCode>
                <c:ptCount val="12"/>
                <c:pt idx="0">
                  <c:v>961.75500000000011</c:v>
                </c:pt>
                <c:pt idx="1">
                  <c:v>961.75500000000011</c:v>
                </c:pt>
                <c:pt idx="2">
                  <c:v>961.75500000000011</c:v>
                </c:pt>
                <c:pt idx="3">
                  <c:v>961.75500000000011</c:v>
                </c:pt>
                <c:pt idx="4">
                  <c:v>961.75500000000011</c:v>
                </c:pt>
                <c:pt idx="5">
                  <c:v>961.75500000000011</c:v>
                </c:pt>
                <c:pt idx="6">
                  <c:v>961.75500000000011</c:v>
                </c:pt>
                <c:pt idx="7">
                  <c:v>961.75500000000011</c:v>
                </c:pt>
                <c:pt idx="8">
                  <c:v>961.75500000000011</c:v>
                </c:pt>
                <c:pt idx="9">
                  <c:v>961.75500000000011</c:v>
                </c:pt>
                <c:pt idx="10">
                  <c:v>961.75500000000011</c:v>
                </c:pt>
                <c:pt idx="11">
                  <c:v>961.75500000000011</c:v>
                </c:pt>
              </c:numCache>
            </c:numRef>
          </c:val>
          <c:extLst>
            <c:ext xmlns:c15="http://schemas.microsoft.com/office/drawing/2012/chart" uri="{02D57815-91ED-43cb-92C2-25804820EDAC}">
              <c15:datalabelsRange>
                <c15:f>Processing!$C$18:$C$29</c15:f>
                <c15:dlblRangeCache>
                  <c:ptCount val="12"/>
                  <c:pt idx="0">
                    <c:v>$11K</c:v>
                  </c:pt>
                  <c:pt idx="1">
                    <c:v>$19K</c:v>
                  </c:pt>
                  <c:pt idx="2">
                    <c:v>$10K</c:v>
                  </c:pt>
                  <c:pt idx="3">
                    <c:v>$14K</c:v>
                  </c:pt>
                  <c:pt idx="4">
                    <c:v>$10K</c:v>
                  </c:pt>
                  <c:pt idx="5">
                    <c:v>$10K</c:v>
                  </c:pt>
                  <c:pt idx="6">
                    <c:v>$15K</c:v>
                  </c:pt>
                  <c:pt idx="7">
                    <c:v>$11K</c:v>
                  </c:pt>
                  <c:pt idx="8">
                    <c:v>$11K</c:v>
                  </c:pt>
                  <c:pt idx="9">
                    <c:v>$7K</c:v>
                  </c:pt>
                  <c:pt idx="10">
                    <c:v>$15K</c:v>
                  </c:pt>
                  <c:pt idx="11">
                    <c:v>$12K</c:v>
                  </c:pt>
                </c15:dlblRangeCache>
              </c15:datalabelsRange>
            </c:ext>
            <c:ext xmlns:c16="http://schemas.microsoft.com/office/drawing/2014/chart" uri="{C3380CC4-5D6E-409C-BE32-E72D297353CC}">
              <c16:uniqueId val="{0000000E-9017-4840-8D15-134F4503199A}"/>
            </c:ext>
          </c:extLst>
        </c:ser>
        <c:dLbls>
          <c:showLegendKey val="0"/>
          <c:showVal val="0"/>
          <c:showCatName val="0"/>
          <c:showSerName val="0"/>
          <c:showPercent val="0"/>
          <c:showBubbleSize val="0"/>
        </c:dLbls>
        <c:gapWidth val="80"/>
        <c:overlap val="100"/>
        <c:axId val="656211919"/>
        <c:axId val="656215279"/>
      </c:barChart>
      <c:catAx>
        <c:axId val="65620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656205679"/>
        <c:crosses val="autoZero"/>
        <c:auto val="1"/>
        <c:lblAlgn val="ctr"/>
        <c:lblOffset val="100"/>
        <c:noMultiLvlLbl val="0"/>
      </c:catAx>
      <c:valAx>
        <c:axId val="656205679"/>
        <c:scaling>
          <c:orientation val="minMax"/>
        </c:scaling>
        <c:delete val="0"/>
        <c:axPos val="l"/>
        <c:majorGridlines>
          <c:spPr>
            <a:ln w="9525" cap="flat" cmpd="sng" algn="ctr">
              <a:solidFill>
                <a:srgbClr val="545C8A">
                  <a:alpha val="30000"/>
                </a:srgbClr>
              </a:solidFill>
              <a:round/>
            </a:ln>
            <a:effectLst/>
          </c:spPr>
        </c:majorGridlines>
        <c:numFmt formatCode="[&gt;=1000000]&quot;$&quot;0.00\ \ &quot;M&quot;;[&gt;=1000]&quot;$&quot;0\ &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45C8A"/>
                </a:solidFill>
                <a:latin typeface="+mn-lt"/>
                <a:ea typeface="+mn-ea"/>
                <a:cs typeface="+mn-cs"/>
              </a:defRPr>
            </a:pPr>
            <a:endParaRPr lang="en-US"/>
          </a:p>
        </c:txPr>
        <c:crossAx val="656207119"/>
        <c:crosses val="autoZero"/>
        <c:crossBetween val="between"/>
      </c:valAx>
      <c:valAx>
        <c:axId val="656215279"/>
        <c:scaling>
          <c:orientation val="minMax"/>
        </c:scaling>
        <c:delete val="1"/>
        <c:axPos val="r"/>
        <c:numFmt formatCode="[&gt;=1000000]&quot;$&quot;0.00\ \ &quot;M&quot;;[&gt;=1000]&quot;$&quot;0\ &quot;K&quot;;0" sourceLinked="1"/>
        <c:majorTickMark val="out"/>
        <c:minorTickMark val="none"/>
        <c:tickLblPos val="nextTo"/>
        <c:crossAx val="656211919"/>
        <c:crosses val="max"/>
        <c:crossBetween val="between"/>
      </c:valAx>
      <c:catAx>
        <c:axId val="656211919"/>
        <c:scaling>
          <c:orientation val="minMax"/>
        </c:scaling>
        <c:delete val="1"/>
        <c:axPos val="b"/>
        <c:numFmt formatCode="General" sourceLinked="1"/>
        <c:majorTickMark val="out"/>
        <c:minorTickMark val="none"/>
        <c:tickLblPos val="nextTo"/>
        <c:crossAx val="6562152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gradFill>
              <a:gsLst>
                <a:gs pos="5000">
                  <a:srgbClr val="5B20BA"/>
                </a:gs>
                <a:gs pos="100000">
                  <a:srgbClr val="7634DC"/>
                </a:gs>
              </a:gsLst>
              <a:lin ang="5400000" scaled="1"/>
            </a:gradFill>
            <a:ln w="107950">
              <a:gradFill>
                <a:gsLst>
                  <a:gs pos="14000">
                    <a:srgbClr val="5B20BA"/>
                  </a:gs>
                  <a:gs pos="100000">
                    <a:srgbClr val="7634DC"/>
                  </a:gs>
                </a:gsLst>
                <a:lin ang="5400000" scaled="1"/>
              </a:grad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[&gt;=1000000]"$"0.00\ \ "M";[&gt;=1000]"$"0\ "K";0</c:formatCode>
                <c:ptCount val="12"/>
                <c:pt idx="0">
                  <c:v>10643.660000000002</c:v>
                </c:pt>
                <c:pt idx="1">
                  <c:v>19235.100000000002</c:v>
                </c:pt>
                <c:pt idx="2">
                  <c:v>9731.260000000002</c:v>
                </c:pt>
                <c:pt idx="3">
                  <c:v>14386.62</c:v>
                </c:pt>
                <c:pt idx="4">
                  <c:v>9729.0699999999979</c:v>
                </c:pt>
                <c:pt idx="5">
                  <c:v>9734.61</c:v>
                </c:pt>
                <c:pt idx="6">
                  <c:v>14599.379999999994</c:v>
                </c:pt>
                <c:pt idx="7">
                  <c:v>11460.12</c:v>
                </c:pt>
                <c:pt idx="8">
                  <c:v>11288.62</c:v>
                </c:pt>
                <c:pt idx="9">
                  <c:v>6645.08</c:v>
                </c:pt>
                <c:pt idx="10">
                  <c:v>15178.620000000003</c:v>
                </c:pt>
                <c:pt idx="11">
                  <c:v>11535.65</c:v>
                </c:pt>
              </c:numCache>
            </c:numRef>
          </c:val>
          <c:extLst>
            <c:ext xmlns:c16="http://schemas.microsoft.com/office/drawing/2014/chart" uri="{C3380CC4-5D6E-409C-BE32-E72D297353CC}">
              <c16:uniqueId val="{00000000-249C-4998-B154-8551DB17D79D}"/>
            </c:ext>
          </c:extLst>
        </c:ser>
        <c:dLbls>
          <c:showLegendKey val="0"/>
          <c:showVal val="0"/>
          <c:showCatName val="0"/>
          <c:showSerName val="0"/>
          <c:showPercent val="0"/>
          <c:showBubbleSize val="0"/>
        </c:dLbls>
        <c:gapWidth val="80"/>
        <c:overlap val="100"/>
        <c:axId val="656207119"/>
        <c:axId val="656205679"/>
      </c:barChart>
      <c:barChart>
        <c:barDir val="col"/>
        <c:grouping val="stacked"/>
        <c:varyColors val="0"/>
        <c:ser>
          <c:idx val="1"/>
          <c:order val="1"/>
          <c:spPr>
            <a:gradFill>
              <a:gsLst>
                <a:gs pos="5000">
                  <a:srgbClr val="A23CF4"/>
                </a:gs>
                <a:gs pos="100000">
                  <a:srgbClr val="C484F8"/>
                </a:gs>
              </a:gsLst>
              <a:lin ang="5400000" scaled="1"/>
            </a:gradFill>
            <a:ln w="107950">
              <a:gradFill>
                <a:gsLst>
                  <a:gs pos="9000">
                    <a:srgbClr val="A23CF4"/>
                  </a:gs>
                  <a:gs pos="100000">
                    <a:srgbClr val="C484F8"/>
                  </a:gs>
                </a:gsLst>
                <a:lin ang="5400000" scaled="1"/>
              </a:grad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Processing!$C$18:$C$29</c:f>
              <c:numCache>
                <c:formatCode>[&gt;=1000000]"$"0.00\ \ "M";[&gt;=1000]"$"0\ "K";0</c:formatCode>
                <c:ptCount val="12"/>
                <c:pt idx="0">
                  <c:v>10643.660000000002</c:v>
                </c:pt>
                <c:pt idx="1">
                  <c:v>19235.100000000002</c:v>
                </c:pt>
                <c:pt idx="2">
                  <c:v>9731.260000000002</c:v>
                </c:pt>
                <c:pt idx="3">
                  <c:v>14386.62</c:v>
                </c:pt>
                <c:pt idx="4">
                  <c:v>9729.0699999999979</c:v>
                </c:pt>
                <c:pt idx="5">
                  <c:v>9734.61</c:v>
                </c:pt>
                <c:pt idx="6">
                  <c:v>14599.379999999994</c:v>
                </c:pt>
                <c:pt idx="7">
                  <c:v>11460.12</c:v>
                </c:pt>
                <c:pt idx="8">
                  <c:v>11288.62</c:v>
                </c:pt>
                <c:pt idx="9">
                  <c:v>6645.08</c:v>
                </c:pt>
                <c:pt idx="10">
                  <c:v>15178.620000000003</c:v>
                </c:pt>
                <c:pt idx="11" formatCode="[&gt;=1000000]&quot;$&quot;0.0\ \ &quot;M&quot;;[&gt;=1000]&quot;$&quot;0\ &quot;K&quot;;&quot;$&quot;0">
                  <c:v>11535.65</c:v>
                </c:pt>
              </c:numCache>
            </c:numRef>
          </c:val>
          <c:extLst>
            <c:ext xmlns:c16="http://schemas.microsoft.com/office/drawing/2014/chart" uri="{C3380CC4-5D6E-409C-BE32-E72D297353CC}">
              <c16:uniqueId val="{00000001-249C-4998-B154-8551DB17D79D}"/>
            </c:ext>
          </c:extLst>
        </c:ser>
        <c:ser>
          <c:idx val="2"/>
          <c:order val="2"/>
          <c:spPr>
            <a:noFill/>
            <a:ln>
              <a:noFill/>
            </a:ln>
            <a:effectLst/>
          </c:spPr>
          <c:invertIfNegative val="0"/>
          <c:dLbls>
            <c:dLbl>
              <c:idx val="0"/>
              <c:tx>
                <c:rich>
                  <a:bodyPr/>
                  <a:lstStyle/>
                  <a:p>
                    <a:fld id="{1A39C1D2-ED48-4974-971C-29A4ED49AAE4}"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49C-4998-B154-8551DB17D79D}"/>
                </c:ext>
              </c:extLst>
            </c:dLbl>
            <c:dLbl>
              <c:idx val="1"/>
              <c:tx>
                <c:rich>
                  <a:bodyPr/>
                  <a:lstStyle/>
                  <a:p>
                    <a:fld id="{A2D729AA-80C5-4BAE-ACCA-ADCF8E11258F}"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49C-4998-B154-8551DB17D79D}"/>
                </c:ext>
              </c:extLst>
            </c:dLbl>
            <c:dLbl>
              <c:idx val="2"/>
              <c:tx>
                <c:rich>
                  <a:bodyPr/>
                  <a:lstStyle/>
                  <a:p>
                    <a:fld id="{6554F17B-708C-49F0-8FD3-C57CD380760F}"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49C-4998-B154-8551DB17D79D}"/>
                </c:ext>
              </c:extLst>
            </c:dLbl>
            <c:dLbl>
              <c:idx val="3"/>
              <c:tx>
                <c:rich>
                  <a:bodyPr/>
                  <a:lstStyle/>
                  <a:p>
                    <a:fld id="{7F2382FE-B377-446D-828B-2B530CD9C7E8}"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49C-4998-B154-8551DB17D79D}"/>
                </c:ext>
              </c:extLst>
            </c:dLbl>
            <c:dLbl>
              <c:idx val="4"/>
              <c:tx>
                <c:rich>
                  <a:bodyPr/>
                  <a:lstStyle/>
                  <a:p>
                    <a:fld id="{CA17A574-7460-488C-9F7D-E866B64D34C5}"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249C-4998-B154-8551DB17D79D}"/>
                </c:ext>
              </c:extLst>
            </c:dLbl>
            <c:dLbl>
              <c:idx val="5"/>
              <c:tx>
                <c:rich>
                  <a:bodyPr/>
                  <a:lstStyle/>
                  <a:p>
                    <a:fld id="{CE80A2A5-5054-492F-BBE6-3621217EAF1E}"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249C-4998-B154-8551DB17D79D}"/>
                </c:ext>
              </c:extLst>
            </c:dLbl>
            <c:dLbl>
              <c:idx val="6"/>
              <c:tx>
                <c:rich>
                  <a:bodyPr/>
                  <a:lstStyle/>
                  <a:p>
                    <a:fld id="{8BD7E535-383E-4705-B3C1-0007517944D5}"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49C-4998-B154-8551DB17D79D}"/>
                </c:ext>
              </c:extLst>
            </c:dLbl>
            <c:dLbl>
              <c:idx val="7"/>
              <c:tx>
                <c:rich>
                  <a:bodyPr/>
                  <a:lstStyle/>
                  <a:p>
                    <a:fld id="{7FA5E853-64B4-4787-A859-766F37600F17}"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249C-4998-B154-8551DB17D79D}"/>
                </c:ext>
              </c:extLst>
            </c:dLbl>
            <c:dLbl>
              <c:idx val="8"/>
              <c:tx>
                <c:rich>
                  <a:bodyPr/>
                  <a:lstStyle/>
                  <a:p>
                    <a:fld id="{D5464F91-11E5-4DB4-A17A-41A7878DA081}"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249C-4998-B154-8551DB17D79D}"/>
                </c:ext>
              </c:extLst>
            </c:dLbl>
            <c:dLbl>
              <c:idx val="9"/>
              <c:tx>
                <c:rich>
                  <a:bodyPr/>
                  <a:lstStyle/>
                  <a:p>
                    <a:fld id="{85079443-C6A8-44C5-ADCE-40579638E73C}"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249C-4998-B154-8551DB17D79D}"/>
                </c:ext>
              </c:extLst>
            </c:dLbl>
            <c:dLbl>
              <c:idx val="10"/>
              <c:tx>
                <c:rich>
                  <a:bodyPr/>
                  <a:lstStyle/>
                  <a:p>
                    <a:fld id="{83EEB4A5-F259-41BF-BC6D-5B8EA832E409}"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49C-4998-B154-8551DB17D79D}"/>
                </c:ext>
              </c:extLst>
            </c:dLbl>
            <c:dLbl>
              <c:idx val="11"/>
              <c:tx>
                <c:rich>
                  <a:bodyPr/>
                  <a:lstStyle/>
                  <a:p>
                    <a:fld id="{83817D9F-A88A-4027-AD64-BB34A2720C60}"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249C-4998-B154-8551DB17D7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Processing!$D$18:$D$29</c:f>
              <c:numCache>
                <c:formatCode>[&gt;=1000000]"$"0.00\ \ "M";[&gt;=1000]"$"0\ "K";0</c:formatCode>
                <c:ptCount val="12"/>
                <c:pt idx="0">
                  <c:v>961.75500000000011</c:v>
                </c:pt>
                <c:pt idx="1">
                  <c:v>961.75500000000011</c:v>
                </c:pt>
                <c:pt idx="2">
                  <c:v>961.75500000000011</c:v>
                </c:pt>
                <c:pt idx="3">
                  <c:v>961.75500000000011</c:v>
                </c:pt>
                <c:pt idx="4">
                  <c:v>961.75500000000011</c:v>
                </c:pt>
                <c:pt idx="5">
                  <c:v>961.75500000000011</c:v>
                </c:pt>
                <c:pt idx="6">
                  <c:v>961.75500000000011</c:v>
                </c:pt>
                <c:pt idx="7">
                  <c:v>961.75500000000011</c:v>
                </c:pt>
                <c:pt idx="8">
                  <c:v>961.75500000000011</c:v>
                </c:pt>
                <c:pt idx="9">
                  <c:v>961.75500000000011</c:v>
                </c:pt>
                <c:pt idx="10">
                  <c:v>961.75500000000011</c:v>
                </c:pt>
                <c:pt idx="11">
                  <c:v>961.75500000000011</c:v>
                </c:pt>
              </c:numCache>
            </c:numRef>
          </c:val>
          <c:extLst>
            <c:ext xmlns:c15="http://schemas.microsoft.com/office/drawing/2012/chart" uri="{02D57815-91ED-43cb-92C2-25804820EDAC}">
              <c15:datalabelsRange>
                <c15:f>Processing!$B$18:$B$29</c15:f>
                <c15:dlblRangeCache>
                  <c:ptCount val="12"/>
                  <c:pt idx="0">
                    <c:v>$11K</c:v>
                  </c:pt>
                  <c:pt idx="1">
                    <c:v>$19K</c:v>
                  </c:pt>
                  <c:pt idx="2">
                    <c:v>$10K</c:v>
                  </c:pt>
                  <c:pt idx="3">
                    <c:v>$14K</c:v>
                  </c:pt>
                  <c:pt idx="4">
                    <c:v>$10K</c:v>
                  </c:pt>
                  <c:pt idx="5">
                    <c:v>$10K</c:v>
                  </c:pt>
                  <c:pt idx="6">
                    <c:v>$15K</c:v>
                  </c:pt>
                  <c:pt idx="7">
                    <c:v>$11K</c:v>
                  </c:pt>
                  <c:pt idx="8">
                    <c:v>$11K</c:v>
                  </c:pt>
                  <c:pt idx="9">
                    <c:v>$7K</c:v>
                  </c:pt>
                  <c:pt idx="10">
                    <c:v>$15K</c:v>
                  </c:pt>
                  <c:pt idx="11">
                    <c:v>$12K</c:v>
                  </c:pt>
                </c15:dlblRangeCache>
              </c15:datalabelsRange>
            </c:ext>
            <c:ext xmlns:c16="http://schemas.microsoft.com/office/drawing/2014/chart" uri="{C3380CC4-5D6E-409C-BE32-E72D297353CC}">
              <c16:uniqueId val="{0000000E-249C-4998-B154-8551DB17D79D}"/>
            </c:ext>
          </c:extLst>
        </c:ser>
        <c:dLbls>
          <c:showLegendKey val="0"/>
          <c:showVal val="0"/>
          <c:showCatName val="0"/>
          <c:showSerName val="0"/>
          <c:showPercent val="0"/>
          <c:showBubbleSize val="0"/>
        </c:dLbls>
        <c:gapWidth val="80"/>
        <c:overlap val="100"/>
        <c:axId val="656211919"/>
        <c:axId val="656215279"/>
      </c:barChart>
      <c:catAx>
        <c:axId val="65620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656205679"/>
        <c:crosses val="autoZero"/>
        <c:auto val="1"/>
        <c:lblAlgn val="ctr"/>
        <c:lblOffset val="100"/>
        <c:noMultiLvlLbl val="0"/>
      </c:catAx>
      <c:valAx>
        <c:axId val="656205679"/>
        <c:scaling>
          <c:orientation val="minMax"/>
        </c:scaling>
        <c:delete val="0"/>
        <c:axPos val="l"/>
        <c:majorGridlines>
          <c:spPr>
            <a:ln w="9525" cap="flat" cmpd="sng" algn="ctr">
              <a:solidFill>
                <a:srgbClr val="545C8A">
                  <a:alpha val="30000"/>
                </a:srgbClr>
              </a:solidFill>
              <a:round/>
            </a:ln>
            <a:effectLst/>
          </c:spPr>
        </c:majorGridlines>
        <c:numFmt formatCode="[&gt;=1000000]&quot;$&quot;0.00\ \ &quot;M&quot;;[&gt;=1000]&quot;$&quot;0\ &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45C8A"/>
                </a:solidFill>
                <a:latin typeface="+mn-lt"/>
                <a:ea typeface="+mn-ea"/>
                <a:cs typeface="+mn-cs"/>
              </a:defRPr>
            </a:pPr>
            <a:endParaRPr lang="en-US"/>
          </a:p>
        </c:txPr>
        <c:crossAx val="656207119"/>
        <c:crosses val="autoZero"/>
        <c:crossBetween val="between"/>
      </c:valAx>
      <c:valAx>
        <c:axId val="656215279"/>
        <c:scaling>
          <c:orientation val="minMax"/>
        </c:scaling>
        <c:delete val="1"/>
        <c:axPos val="r"/>
        <c:numFmt formatCode="[&gt;=1000000]&quot;$&quot;0.00\ \ &quot;M&quot;;[&gt;=1000]&quot;$&quot;0\ &quot;K&quot;;0" sourceLinked="1"/>
        <c:majorTickMark val="out"/>
        <c:minorTickMark val="none"/>
        <c:tickLblPos val="nextTo"/>
        <c:crossAx val="656211919"/>
        <c:crosses val="max"/>
        <c:crossBetween val="between"/>
      </c:valAx>
      <c:catAx>
        <c:axId val="656211919"/>
        <c:scaling>
          <c:orientation val="minMax"/>
        </c:scaling>
        <c:delete val="1"/>
        <c:axPos val="b"/>
        <c:numFmt formatCode="General" sourceLinked="1"/>
        <c:majorTickMark val="out"/>
        <c:minorTickMark val="none"/>
        <c:tickLblPos val="nextTo"/>
        <c:crossAx val="6562152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663738229553781E-2"/>
          <c:y val="0.12445245818103423"/>
          <c:w val="0.90441807091180215"/>
          <c:h val="0.80709868981939681"/>
        </c:manualLayout>
      </c:layout>
      <c:areaChart>
        <c:grouping val="standard"/>
        <c:varyColors val="0"/>
        <c:ser>
          <c:idx val="1"/>
          <c:order val="5"/>
          <c:tx>
            <c:v>Fill</c:v>
          </c:tx>
          <c:spPr>
            <a:gradFill flip="none" rotWithShape="1">
              <a:gsLst>
                <a:gs pos="0">
                  <a:srgbClr val="0077FF">
                    <a:alpha val="31000"/>
                  </a:srgbClr>
                </a:gs>
                <a:gs pos="100000">
                  <a:srgbClr val="8348E4">
                    <a:alpha val="57000"/>
                  </a:srgbClr>
                </a:gs>
              </a:gsLst>
              <a:lin ang="5400000" scaled="1"/>
              <a:tileRect/>
            </a:gradFill>
            <a:ln>
              <a:noFill/>
            </a:ln>
            <a:effectLst/>
          </c:spPr>
          <c:val>
            <c:numRef>
              <c:f>Processing!$B$34:$B$45</c:f>
              <c:numCache>
                <c:formatCode>0</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val>
          <c:extLst>
            <c:ext xmlns:c16="http://schemas.microsoft.com/office/drawing/2014/chart" uri="{C3380CC4-5D6E-409C-BE32-E72D297353CC}">
              <c16:uniqueId val="{00000000-8358-4C74-8787-34A02D68CFCF}"/>
            </c:ext>
          </c:extLst>
        </c:ser>
        <c:dLbls>
          <c:showLegendKey val="0"/>
          <c:showVal val="0"/>
          <c:showCatName val="0"/>
          <c:showSerName val="0"/>
          <c:showPercent val="0"/>
          <c:showBubbleSize val="0"/>
        </c:dLbls>
        <c:axId val="230561104"/>
        <c:axId val="230557264"/>
      </c:areaChart>
      <c:barChart>
        <c:barDir val="col"/>
        <c:grouping val="stacked"/>
        <c:varyColors val="0"/>
        <c:ser>
          <c:idx val="3"/>
          <c:order val="2"/>
          <c:tx>
            <c:strRef>
              <c:f>Processing!$E$33</c:f>
              <c:strCache>
                <c:ptCount val="1"/>
                <c:pt idx="0">
                  <c:v>padding</c:v>
                </c:pt>
              </c:strCache>
            </c:strRef>
          </c:tx>
          <c:spPr>
            <a:noFill/>
            <a:ln>
              <a:noFill/>
            </a:ln>
            <a:effectLst/>
          </c:spPr>
          <c:invertIfNegative val="0"/>
          <c:cat>
            <c:strRef>
              <c:f>Processing!$A$34:$A$45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Processing!$E$34:$E$45</c:f>
              <c:numCache>
                <c:formatCode>0</c:formatCode>
                <c:ptCount val="12"/>
                <c:pt idx="0">
                  <c:v>-3000</c:v>
                </c:pt>
                <c:pt idx="1">
                  <c:v>-3000</c:v>
                </c:pt>
                <c:pt idx="2">
                  <c:v>-3000</c:v>
                </c:pt>
                <c:pt idx="3">
                  <c:v>-3000</c:v>
                </c:pt>
                <c:pt idx="4">
                  <c:v>-3000</c:v>
                </c:pt>
                <c:pt idx="5">
                  <c:v>-3000</c:v>
                </c:pt>
                <c:pt idx="6">
                  <c:v>-3000</c:v>
                </c:pt>
                <c:pt idx="7">
                  <c:v>-3000</c:v>
                </c:pt>
                <c:pt idx="8">
                  <c:v>-3000</c:v>
                </c:pt>
                <c:pt idx="9">
                  <c:v>-3000</c:v>
                </c:pt>
                <c:pt idx="10">
                  <c:v>-3000</c:v>
                </c:pt>
                <c:pt idx="11">
                  <c:v>-3000</c:v>
                </c:pt>
              </c:numCache>
            </c:numRef>
          </c:val>
          <c:extLst>
            <c:ext xmlns:c16="http://schemas.microsoft.com/office/drawing/2014/chart" uri="{C3380CC4-5D6E-409C-BE32-E72D297353CC}">
              <c16:uniqueId val="{00000001-8358-4C74-8787-34A02D68CFCF}"/>
            </c:ext>
          </c:extLst>
        </c:ser>
        <c:ser>
          <c:idx val="4"/>
          <c:order val="3"/>
          <c:tx>
            <c:strRef>
              <c:f>Processing!$F$33</c:f>
              <c:strCache>
                <c:ptCount val="1"/>
                <c:pt idx="0">
                  <c:v>Cursor</c:v>
                </c:pt>
              </c:strCache>
            </c:strRef>
          </c:tx>
          <c:spPr>
            <a:noFill/>
            <a:ln w="152400">
              <a:gradFill>
                <a:gsLst>
                  <a:gs pos="0">
                    <a:srgbClr val="8348E4">
                      <a:alpha val="50000"/>
                    </a:srgbClr>
                  </a:gs>
                  <a:gs pos="69000">
                    <a:srgbClr val="8348E4"/>
                  </a:gs>
                  <a:gs pos="100000">
                    <a:srgbClr val="8348E4">
                      <a:alpha val="50000"/>
                    </a:srgbClr>
                  </a:gs>
                </a:gsLst>
                <a:lin ang="5400000" scaled="1"/>
              </a:gradFill>
            </a:ln>
            <a:effectLst/>
          </c:spPr>
          <c:invertIfNegative val="0"/>
          <c:cat>
            <c:strRef>
              <c:f>Processing!$A$34:$A$45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Processing!$F$34:$F$45</c:f>
              <c:numCache>
                <c:formatCode>0</c:formatCode>
                <c:ptCount val="12"/>
                <c:pt idx="0">
                  <c:v>38844.369999999995</c:v>
                </c:pt>
                <c:pt idx="1">
                  <c:v>53423.02</c:v>
                </c:pt>
                <c:pt idx="2">
                  <c:v>32174.92</c:v>
                </c:pt>
                <c:pt idx="3">
                  <c:v>39302.17</c:v>
                </c:pt>
                <c:pt idx="4">
                  <c:v>36486.32</c:v>
                </c:pt>
                <c:pt idx="5">
                  <c:v>30506.82</c:v>
                </c:pt>
                <c:pt idx="6">
                  <c:v>49476.67</c:v>
                </c:pt>
                <c:pt idx="7">
                  <c:v>42694.32</c:v>
                </c:pt>
                <c:pt idx="8">
                  <c:v>32573.119999999995</c:v>
                </c:pt>
                <c:pt idx="9">
                  <c:v>29398.270000000004</c:v>
                </c:pt>
                <c:pt idx="10">
                  <c:v>50587.170000000006</c:v>
                </c:pt>
                <c:pt idx="11">
                  <c:v>49816.07</c:v>
                </c:pt>
              </c:numCache>
            </c:numRef>
          </c:val>
          <c:extLst>
            <c:ext xmlns:c16="http://schemas.microsoft.com/office/drawing/2014/chart" uri="{C3380CC4-5D6E-409C-BE32-E72D297353CC}">
              <c16:uniqueId val="{00000002-8358-4C74-8787-34A02D68CFCF}"/>
            </c:ext>
          </c:extLst>
        </c:ser>
        <c:dLbls>
          <c:showLegendKey val="0"/>
          <c:showVal val="0"/>
          <c:showCatName val="0"/>
          <c:showSerName val="0"/>
          <c:showPercent val="0"/>
          <c:showBubbleSize val="0"/>
        </c:dLbls>
        <c:gapWidth val="100"/>
        <c:overlap val="100"/>
        <c:axId val="230561104"/>
        <c:axId val="230557264"/>
      </c:barChart>
      <c:lineChart>
        <c:grouping val="standard"/>
        <c:varyColors val="0"/>
        <c:ser>
          <c:idx val="0"/>
          <c:order val="0"/>
          <c:tx>
            <c:strRef>
              <c:f>Processing!$B$33</c:f>
              <c:strCache>
                <c:ptCount val="1"/>
                <c:pt idx="0">
                  <c:v>Sales</c:v>
                </c:pt>
              </c:strCache>
            </c:strRef>
          </c:tx>
          <c:spPr>
            <a:ln w="44450" cap="rnd">
              <a:gradFill flip="none" rotWithShape="1">
                <a:gsLst>
                  <a:gs pos="0">
                    <a:srgbClr val="0077FF"/>
                  </a:gs>
                  <a:gs pos="100000">
                    <a:srgbClr val="8348E4"/>
                  </a:gs>
                </a:gsLst>
                <a:lin ang="0" scaled="1"/>
                <a:tileRect/>
              </a:gradFill>
              <a:round/>
            </a:ln>
            <a:effectLst>
              <a:outerShdw blurRad="50800" dist="38100" dir="5400000" algn="t" rotWithShape="0">
                <a:prstClr val="black">
                  <a:alpha val="40000"/>
                </a:prstClr>
              </a:outerShdw>
            </a:effectLst>
          </c:spPr>
          <c:marker>
            <c:symbol val="none"/>
          </c:marker>
          <c:cat>
            <c:strRef>
              <c:f>Processing!$A$34:$A$45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Processing!$B$34:$B$45</c:f>
              <c:numCache>
                <c:formatCode>0</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val>
          <c:smooth val="1"/>
          <c:extLst>
            <c:ext xmlns:c16="http://schemas.microsoft.com/office/drawing/2014/chart" uri="{C3380CC4-5D6E-409C-BE32-E72D297353CC}">
              <c16:uniqueId val="{00000003-8358-4C74-8787-34A02D68CFCF}"/>
            </c:ext>
          </c:extLst>
        </c:ser>
        <c:ser>
          <c:idx val="2"/>
          <c:order val="1"/>
          <c:tx>
            <c:strRef>
              <c:f>Processing!$D$33</c:f>
              <c:strCache>
                <c:ptCount val="1"/>
                <c:pt idx="0">
                  <c:v>Line Plan</c:v>
                </c:pt>
              </c:strCache>
            </c:strRef>
          </c:tx>
          <c:spPr>
            <a:ln w="19050" cap="rnd">
              <a:solidFill>
                <a:schemeClr val="bg1"/>
              </a:solidFill>
              <a:round/>
            </a:ln>
            <a:effectLst/>
          </c:spPr>
          <c:marker>
            <c:symbol val="none"/>
          </c:marker>
          <c:cat>
            <c:strRef>
              <c:f>Processing!$A$34:$A$45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Processing!$D$34:$D$45</c:f>
              <c:numCache>
                <c:formatCode>0</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smooth val="1"/>
          <c:extLst>
            <c:ext xmlns:c16="http://schemas.microsoft.com/office/drawing/2014/chart" uri="{C3380CC4-5D6E-409C-BE32-E72D297353CC}">
              <c16:uniqueId val="{00000004-8358-4C74-8787-34A02D68CFCF}"/>
            </c:ext>
          </c:extLst>
        </c:ser>
        <c:dLbls>
          <c:showLegendKey val="0"/>
          <c:showVal val="0"/>
          <c:showCatName val="0"/>
          <c:showSerName val="0"/>
          <c:showPercent val="0"/>
          <c:showBubbleSize val="0"/>
        </c:dLbls>
        <c:marker val="1"/>
        <c:smooth val="0"/>
        <c:axId val="230561104"/>
        <c:axId val="230557264"/>
      </c:lineChart>
      <c:scatterChart>
        <c:scatterStyle val="lineMarker"/>
        <c:varyColors val="0"/>
        <c:ser>
          <c:idx val="5"/>
          <c:order val="4"/>
          <c:tx>
            <c:strRef>
              <c:f>Processing!$G$33</c:f>
              <c:strCache>
                <c:ptCount val="1"/>
                <c:pt idx="0">
                  <c:v>Marker</c:v>
                </c:pt>
              </c:strCache>
            </c:strRef>
          </c:tx>
          <c:spPr>
            <a:ln w="25400" cap="rnd">
              <a:noFill/>
              <a:round/>
            </a:ln>
            <a:effectLst>
              <a:outerShdw blurRad="50800" dist="38100" dir="5400000" algn="t" rotWithShape="0">
                <a:prstClr val="black">
                  <a:alpha val="40000"/>
                </a:prstClr>
              </a:outerShdw>
            </a:effectLst>
          </c:spPr>
          <c:marker>
            <c:symbol val="circle"/>
            <c:size val="8"/>
            <c:spPr>
              <a:solidFill>
                <a:srgbClr val="30344E"/>
              </a:solidFill>
              <a:ln w="34925">
                <a:gradFill>
                  <a:gsLst>
                    <a:gs pos="0">
                      <a:schemeClr val="accent1">
                        <a:lumMod val="5000"/>
                        <a:lumOff val="9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Processing!$A$34:$A$45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Processing!$G$34:$G$45</c:f>
              <c:numCache>
                <c:formatCode>0</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yVal>
          <c:smooth val="0"/>
          <c:extLst>
            <c:ext xmlns:c16="http://schemas.microsoft.com/office/drawing/2014/chart" uri="{C3380CC4-5D6E-409C-BE32-E72D297353CC}">
              <c16:uniqueId val="{00000005-8358-4C74-8787-34A02D68CFCF}"/>
            </c:ext>
          </c:extLst>
        </c:ser>
        <c:dLbls>
          <c:showLegendKey val="0"/>
          <c:showVal val="0"/>
          <c:showCatName val="0"/>
          <c:showSerName val="0"/>
          <c:showPercent val="0"/>
          <c:showBubbleSize val="0"/>
        </c:dLbls>
        <c:axId val="230561104"/>
        <c:axId val="230557264"/>
      </c:scatterChart>
      <c:catAx>
        <c:axId val="230561104"/>
        <c:scaling>
          <c:orientation val="minMax"/>
        </c:scaling>
        <c:delete val="1"/>
        <c:axPos val="b"/>
        <c:numFmt formatCode="General" sourceLinked="1"/>
        <c:majorTickMark val="none"/>
        <c:minorTickMark val="none"/>
        <c:tickLblPos val="nextTo"/>
        <c:crossAx val="230557264"/>
        <c:crosses val="autoZero"/>
        <c:auto val="1"/>
        <c:lblAlgn val="ctr"/>
        <c:lblOffset val="100"/>
        <c:noMultiLvlLbl val="0"/>
      </c:catAx>
      <c:valAx>
        <c:axId val="230557264"/>
        <c:scaling>
          <c:orientation val="minMax"/>
        </c:scaling>
        <c:delete val="0"/>
        <c:axPos val="l"/>
        <c:majorGridlines>
          <c:spPr>
            <a:ln w="9525" cap="flat" cmpd="sng" algn="ctr">
              <a:solidFill>
                <a:srgbClr val="545C8A">
                  <a:alpha val="30000"/>
                </a:srgb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45C8A"/>
                </a:solidFill>
                <a:latin typeface="+mn-lt"/>
                <a:ea typeface="+mn-ea"/>
                <a:cs typeface="+mn-cs"/>
              </a:defRPr>
            </a:pPr>
            <a:endParaRPr lang="en-US"/>
          </a:p>
        </c:txPr>
        <c:crossAx val="23056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blipFill>
              <a:blip xmlns:r="http://schemas.openxmlformats.org/officeDocument/2006/relationships" r:embed="rId3"/>
              <a:stretch>
                <a:fillRect/>
              </a:stretch>
            </a:blipFill>
            <a:ln>
              <a:noFill/>
            </a:ln>
            <a:effectLst/>
          </c:spPr>
          <c:invertIfNegative val="0"/>
          <c:val>
            <c:numRef>
              <c:f>Processing!$H$35</c:f>
              <c:numCache>
                <c:formatCode>General</c:formatCode>
                <c:ptCount val="1"/>
                <c:pt idx="0">
                  <c:v>1</c:v>
                </c:pt>
              </c:numCache>
            </c:numRef>
          </c:val>
          <c:extLst>
            <c:ext xmlns:c16="http://schemas.microsoft.com/office/drawing/2014/chart" uri="{C3380CC4-5D6E-409C-BE32-E72D297353CC}">
              <c16:uniqueId val="{00000000-E118-427D-944C-FAABA1D644F3}"/>
            </c:ext>
          </c:extLst>
        </c:ser>
        <c:ser>
          <c:idx val="1"/>
          <c:order val="1"/>
          <c:spPr>
            <a:blipFill>
              <a:blip xmlns:r="http://schemas.openxmlformats.org/officeDocument/2006/relationships" r:embed="rId4"/>
              <a:stretch>
                <a:fillRect/>
              </a:stretch>
            </a:blipFill>
            <a:ln>
              <a:noFill/>
            </a:ln>
            <a:effectLst/>
          </c:spPr>
          <c:invertIfNegative val="0"/>
          <c:val>
            <c:numRef>
              <c:f>Processing!$H$36</c:f>
              <c:numCache>
                <c:formatCode>General</c:formatCode>
                <c:ptCount val="1"/>
                <c:pt idx="0">
                  <c:v>0</c:v>
                </c:pt>
              </c:numCache>
            </c:numRef>
          </c:val>
          <c:extLst>
            <c:ext xmlns:c16="http://schemas.microsoft.com/office/drawing/2014/chart" uri="{C3380CC4-5D6E-409C-BE32-E72D297353CC}">
              <c16:uniqueId val="{00000001-E118-427D-944C-FAABA1D644F3}"/>
            </c:ext>
          </c:extLst>
        </c:ser>
        <c:dLbls>
          <c:showLegendKey val="0"/>
          <c:showVal val="0"/>
          <c:showCatName val="0"/>
          <c:showSerName val="0"/>
          <c:showPercent val="0"/>
          <c:showBubbleSize val="0"/>
        </c:dLbls>
        <c:gapWidth val="0"/>
        <c:overlap val="100"/>
        <c:axId val="513861424"/>
        <c:axId val="513857584"/>
      </c:barChart>
      <c:catAx>
        <c:axId val="513861424"/>
        <c:scaling>
          <c:orientation val="minMax"/>
        </c:scaling>
        <c:delete val="1"/>
        <c:axPos val="l"/>
        <c:majorTickMark val="out"/>
        <c:minorTickMark val="none"/>
        <c:tickLblPos val="nextTo"/>
        <c:crossAx val="513857584"/>
        <c:crosses val="autoZero"/>
        <c:auto val="1"/>
        <c:lblAlgn val="ctr"/>
        <c:lblOffset val="100"/>
        <c:noMultiLvlLbl val="0"/>
      </c:catAx>
      <c:valAx>
        <c:axId val="513857584"/>
        <c:scaling>
          <c:orientation val="minMax"/>
          <c:max val="1"/>
        </c:scaling>
        <c:delete val="1"/>
        <c:axPos val="b"/>
        <c:numFmt formatCode="General" sourceLinked="1"/>
        <c:majorTickMark val="out"/>
        <c:minorTickMark val="none"/>
        <c:tickLblPos val="nextTo"/>
        <c:crossAx val="51386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1"/>
          <c:order val="0"/>
          <c:spPr>
            <a:ln>
              <a:noFill/>
            </a:ln>
          </c:spPr>
          <c:dPt>
            <c:idx val="0"/>
            <c:bubble3D val="0"/>
            <c:spPr>
              <a:gradFill>
                <a:gsLst>
                  <a:gs pos="0">
                    <a:srgbClr val="03C0C0"/>
                  </a:gs>
                  <a:gs pos="100000">
                    <a:srgbClr val="007376"/>
                  </a:gs>
                </a:gsLst>
                <a:lin ang="5400000" scaled="0"/>
              </a:gradFill>
              <a:ln>
                <a:noFill/>
              </a:ln>
              <a:effectLst>
                <a:outerShdw blurRad="63500" dist="25400" sx="102000" sy="102000" algn="ctr" rotWithShape="0">
                  <a:prstClr val="black">
                    <a:alpha val="40000"/>
                  </a:prstClr>
                </a:outerShdw>
              </a:effectLst>
            </c:spPr>
            <c:extLst>
              <c:ext xmlns:c16="http://schemas.microsoft.com/office/drawing/2014/chart" uri="{C3380CC4-5D6E-409C-BE32-E72D297353CC}">
                <c16:uniqueId val="{00000001-9403-4573-A0DB-76C9A50F093E}"/>
              </c:ext>
            </c:extLst>
          </c:dPt>
          <c:dPt>
            <c:idx val="1"/>
            <c:bubble3D val="0"/>
            <c:spPr>
              <a:noFill/>
              <a:ln>
                <a:noFill/>
              </a:ln>
            </c:spPr>
            <c:extLst>
              <c:ext xmlns:c16="http://schemas.microsoft.com/office/drawing/2014/chart" uri="{C3380CC4-5D6E-409C-BE32-E72D297353CC}">
                <c16:uniqueId val="{00000003-9403-4573-A0DB-76C9A50F093E}"/>
              </c:ext>
            </c:extLst>
          </c:dPt>
          <c:dPt>
            <c:idx val="2"/>
            <c:bubble3D val="0"/>
            <c:spPr>
              <a:gradFill flip="none" rotWithShape="1">
                <a:gsLst>
                  <a:gs pos="0">
                    <a:srgbClr val="4695B8"/>
                  </a:gs>
                  <a:gs pos="100000">
                    <a:srgbClr val="152E3F"/>
                  </a:gs>
                </a:gsLst>
                <a:path path="circle">
                  <a:fillToRect r="100000" b="100000"/>
                </a:path>
                <a:tileRect l="-100000" t="-100000"/>
              </a:gradFill>
              <a:ln>
                <a:noFill/>
              </a:ln>
              <a:effectLst>
                <a:outerShdw blurRad="63500" dist="25400" dir="8880000" sx="102000" sy="102000" algn="ctr" rotWithShape="0">
                  <a:prstClr val="black">
                    <a:alpha val="40000"/>
                  </a:prstClr>
                </a:outerShdw>
              </a:effectLst>
            </c:spPr>
            <c:extLst>
              <c:ext xmlns:c16="http://schemas.microsoft.com/office/drawing/2014/chart" uri="{C3380CC4-5D6E-409C-BE32-E72D297353CC}">
                <c16:uniqueId val="{00000005-9403-4573-A0DB-76C9A50F093E}"/>
              </c:ext>
            </c:extLst>
          </c:dPt>
          <c:dPt>
            <c:idx val="3"/>
            <c:bubble3D val="0"/>
            <c:spPr>
              <a:noFill/>
              <a:ln>
                <a:noFill/>
              </a:ln>
            </c:spPr>
            <c:extLst>
              <c:ext xmlns:c16="http://schemas.microsoft.com/office/drawing/2014/chart" uri="{C3380CC4-5D6E-409C-BE32-E72D297353CC}">
                <c16:uniqueId val="{00000007-9403-4573-A0DB-76C9A50F093E}"/>
              </c:ext>
            </c:extLst>
          </c:dPt>
          <c:cat>
            <c:strRef>
              <c:f>Processing!$A$60:$A$63</c:f>
              <c:strCache>
                <c:ptCount val="4"/>
                <c:pt idx="0">
                  <c:v>Consumer</c:v>
                </c:pt>
                <c:pt idx="1">
                  <c:v>Corporate</c:v>
                </c:pt>
                <c:pt idx="2">
                  <c:v>Enterprise</c:v>
                </c:pt>
                <c:pt idx="3">
                  <c:v>Retail</c:v>
                </c:pt>
              </c:strCache>
            </c:strRef>
          </c:cat>
          <c:val>
            <c:numRef>
              <c:f>Processing!$B$60:$B$63</c:f>
              <c:numCache>
                <c:formatCode>_("$"* #\ ##0_);_("$"* \(#\ ##0\);_("$"* "-"??_);_(@_)</c:formatCode>
                <c:ptCount val="4"/>
                <c:pt idx="0">
                  <c:v>79123.5</c:v>
                </c:pt>
                <c:pt idx="1">
                  <c:v>85563.199999999997</c:v>
                </c:pt>
                <c:pt idx="2">
                  <c:v>75437.7</c:v>
                </c:pt>
                <c:pt idx="3">
                  <c:v>161540.20000000001</c:v>
                </c:pt>
              </c:numCache>
            </c:numRef>
          </c:val>
          <c:extLst>
            <c:ext xmlns:c16="http://schemas.microsoft.com/office/drawing/2014/chart" uri="{C3380CC4-5D6E-409C-BE32-E72D297353CC}">
              <c16:uniqueId val="{00000008-9403-4573-A0DB-76C9A50F093E}"/>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DF0D-4219-8D72-F6401799DE83}"/>
              </c:ext>
            </c:extLst>
          </c:dPt>
          <c:dPt>
            <c:idx val="1"/>
            <c:bubble3D val="0"/>
            <c:spPr>
              <a:gradFill flip="none" rotWithShape="1">
                <a:gsLst>
                  <a:gs pos="0">
                    <a:srgbClr val="00DBCA"/>
                  </a:gs>
                  <a:gs pos="97000">
                    <a:srgbClr val="03AD91"/>
                  </a:gs>
                </a:gsLst>
                <a:lin ang="13500000" scaled="1"/>
                <a:tileRect/>
              </a:gradFill>
              <a:ln w="19050">
                <a:noFill/>
              </a:ln>
              <a:effectLst>
                <a:outerShdw blurRad="50800" dist="63500" dir="2700000" algn="tl" rotWithShape="0">
                  <a:prstClr val="black">
                    <a:alpha val="40000"/>
                  </a:prstClr>
                </a:outerShdw>
              </a:effectLst>
            </c:spPr>
            <c:extLst>
              <c:ext xmlns:c16="http://schemas.microsoft.com/office/drawing/2014/chart" uri="{C3380CC4-5D6E-409C-BE32-E72D297353CC}">
                <c16:uniqueId val="{00000003-DF0D-4219-8D72-F6401799DE83}"/>
              </c:ext>
            </c:extLst>
          </c:dPt>
          <c:dPt>
            <c:idx val="2"/>
            <c:bubble3D val="0"/>
            <c:spPr>
              <a:noFill/>
              <a:ln w="19050">
                <a:noFill/>
              </a:ln>
              <a:effectLst/>
            </c:spPr>
            <c:extLst>
              <c:ext xmlns:c16="http://schemas.microsoft.com/office/drawing/2014/chart" uri="{C3380CC4-5D6E-409C-BE32-E72D297353CC}">
                <c16:uniqueId val="{00000005-DF0D-4219-8D72-F6401799DE83}"/>
              </c:ext>
            </c:extLst>
          </c:dPt>
          <c:dPt>
            <c:idx val="3"/>
            <c:bubble3D val="0"/>
            <c:spPr>
              <a:noFill/>
              <a:ln w="19050">
                <a:noFill/>
              </a:ln>
              <a:effectLst/>
            </c:spPr>
            <c:extLst>
              <c:ext xmlns:c16="http://schemas.microsoft.com/office/drawing/2014/chart" uri="{C3380CC4-5D6E-409C-BE32-E72D297353CC}">
                <c16:uniqueId val="{00000007-DF0D-4219-8D72-F6401799DE83}"/>
              </c:ext>
            </c:extLst>
          </c:dPt>
          <c:cat>
            <c:strRef>
              <c:f>Processing!$A$60:$A$63</c:f>
              <c:strCache>
                <c:ptCount val="4"/>
                <c:pt idx="0">
                  <c:v>Consumer</c:v>
                </c:pt>
                <c:pt idx="1">
                  <c:v>Corporate</c:v>
                </c:pt>
                <c:pt idx="2">
                  <c:v>Enterprise</c:v>
                </c:pt>
                <c:pt idx="3">
                  <c:v>Retail</c:v>
                </c:pt>
              </c:strCache>
            </c:strRef>
          </c:cat>
          <c:val>
            <c:numRef>
              <c:f>Processing!$B$60:$B$63</c:f>
              <c:numCache>
                <c:formatCode>_("$"* #\ ##0_);_("$"* \(#\ ##0\);_("$"* "-"??_);_(@_)</c:formatCode>
                <c:ptCount val="4"/>
                <c:pt idx="0">
                  <c:v>79123.5</c:v>
                </c:pt>
                <c:pt idx="1">
                  <c:v>85563.199999999997</c:v>
                </c:pt>
                <c:pt idx="2">
                  <c:v>75437.7</c:v>
                </c:pt>
                <c:pt idx="3">
                  <c:v>161540.20000000001</c:v>
                </c:pt>
              </c:numCache>
            </c:numRef>
          </c:val>
          <c:extLst>
            <c:ext xmlns:c16="http://schemas.microsoft.com/office/drawing/2014/chart" uri="{C3380CC4-5D6E-409C-BE32-E72D297353CC}">
              <c16:uniqueId val="{00000008-DF0D-4219-8D72-F6401799DE83}"/>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011B-4BFF-9C27-1EAB26FCDD55}"/>
              </c:ext>
            </c:extLst>
          </c:dPt>
          <c:dPt>
            <c:idx val="1"/>
            <c:bubble3D val="0"/>
            <c:spPr>
              <a:gradFill flip="none" rotWithShape="1">
                <a:gsLst>
                  <a:gs pos="0">
                    <a:schemeClr val="accent5">
                      <a:lumMod val="50000"/>
                    </a:schemeClr>
                  </a:gs>
                  <a:gs pos="54000">
                    <a:srgbClr val="FF00FF"/>
                  </a:gs>
                </a:gsLst>
                <a:lin ang="2400000" scaled="0"/>
                <a:tileRect/>
              </a:gradFill>
              <a:ln w="19050">
                <a:noFill/>
              </a:ln>
              <a:effectLst/>
            </c:spPr>
            <c:extLst>
              <c:ext xmlns:c16="http://schemas.microsoft.com/office/drawing/2014/chart" uri="{C3380CC4-5D6E-409C-BE32-E72D297353CC}">
                <c16:uniqueId val="{00000003-011B-4BFF-9C27-1EAB26FCDD55}"/>
              </c:ext>
            </c:extLst>
          </c:dPt>
          <c:val>
            <c:numRef>
              <c:f>Processing!$A$67:$B$67</c:f>
              <c:numCache>
                <c:formatCode>0%</c:formatCode>
                <c:ptCount val="2"/>
                <c:pt idx="0">
                  <c:v>0.35557779999999961</c:v>
                </c:pt>
                <c:pt idx="1">
                  <c:v>0.64442220000000039</c:v>
                </c:pt>
              </c:numCache>
            </c:numRef>
          </c:val>
          <c:extLst>
            <c:ext xmlns:c16="http://schemas.microsoft.com/office/drawing/2014/chart" uri="{C3380CC4-5D6E-409C-BE32-E72D297353CC}">
              <c16:uniqueId val="{00000004-011B-4BFF-9C27-1EAB26FCDD55}"/>
            </c:ext>
          </c:extLst>
        </c:ser>
        <c:dLbls>
          <c:showLegendKey val="0"/>
          <c:showVal val="0"/>
          <c:showCatName val="0"/>
          <c:showSerName val="0"/>
          <c:showPercent val="0"/>
          <c:showBubbleSize val="0"/>
          <c:showLeaderLines val="1"/>
        </c:dLbls>
        <c:firstSliceAng val="30"/>
        <c:holeSize val="75"/>
      </c:doughnutChart>
      <c:scatterChart>
        <c:scatterStyle val="lineMarker"/>
        <c:varyColors val="0"/>
        <c:ser>
          <c:idx val="1"/>
          <c:order val="1"/>
          <c:tx>
            <c:v>XY</c:v>
          </c:tx>
          <c:spPr>
            <a:ln w="25400" cap="rnd">
              <a:noFill/>
              <a:round/>
            </a:ln>
            <a:effectLst/>
          </c:spPr>
          <c:marker>
            <c:symbol val="circle"/>
            <c:size val="14"/>
            <c:spPr>
              <a:solidFill>
                <a:srgbClr val="FF00FF"/>
              </a:solidFill>
              <a:ln w="9525">
                <a:noFill/>
              </a:ln>
              <a:effectLst/>
            </c:spPr>
          </c:marker>
          <c:dPt>
            <c:idx val="0"/>
            <c:bubble3D val="0"/>
            <c:extLst>
              <c:ext xmlns:c16="http://schemas.microsoft.com/office/drawing/2014/chart" uri="{C3380CC4-5D6E-409C-BE32-E72D297353CC}">
                <c16:uniqueId val="{00000005-011B-4BFF-9C27-1EAB26FCDD55}"/>
              </c:ext>
            </c:extLst>
          </c:dPt>
          <c:dPt>
            <c:idx val="1"/>
            <c:marker>
              <c:spPr>
                <a:solidFill>
                  <a:srgbClr val="EB03EA"/>
                </a:solidFill>
                <a:ln w="9525">
                  <a:noFill/>
                </a:ln>
                <a:effectLst/>
              </c:spPr>
            </c:marker>
            <c:bubble3D val="0"/>
            <c:extLst>
              <c:ext xmlns:c16="http://schemas.microsoft.com/office/drawing/2014/chart" uri="{C3380CC4-5D6E-409C-BE32-E72D297353CC}">
                <c16:uniqueId val="{00000006-011B-4BFF-9C27-1EAB26FCDD55}"/>
              </c:ext>
            </c:extLst>
          </c:dPt>
          <c:xVal>
            <c:numRef>
              <c:f>Processing!$C$67:$C$68</c:f>
              <c:numCache>
                <c:formatCode>0.00</c:formatCode>
                <c:ptCount val="2"/>
                <c:pt idx="0" formatCode="0.000">
                  <c:v>0.374477001009899</c:v>
                </c:pt>
                <c:pt idx="1">
                  <c:v>0.5</c:v>
                </c:pt>
              </c:numCache>
            </c:numRef>
          </c:xVal>
          <c:yVal>
            <c:numRef>
              <c:f>Processing!$D$67:$D$68</c:f>
              <c:numCache>
                <c:formatCode>0.00</c:formatCode>
                <c:ptCount val="2"/>
                <c:pt idx="0" formatCode="0.000">
                  <c:v>-0.92723620276315355</c:v>
                </c:pt>
                <c:pt idx="1">
                  <c:v>0.86599999999999999</c:v>
                </c:pt>
              </c:numCache>
            </c:numRef>
          </c:yVal>
          <c:smooth val="0"/>
          <c:extLst>
            <c:ext xmlns:c16="http://schemas.microsoft.com/office/drawing/2014/chart" uri="{C3380CC4-5D6E-409C-BE32-E72D297353CC}">
              <c16:uniqueId val="{00000007-011B-4BFF-9C27-1EAB26FCDD55}"/>
            </c:ext>
          </c:extLst>
        </c:ser>
        <c:dLbls>
          <c:showLegendKey val="0"/>
          <c:showVal val="0"/>
          <c:showCatName val="0"/>
          <c:showSerName val="0"/>
          <c:showPercent val="0"/>
          <c:showBubbleSize val="0"/>
        </c:dLbls>
        <c:axId val="442115791"/>
        <c:axId val="442113391"/>
      </c:scatterChart>
      <c:valAx>
        <c:axId val="442113391"/>
        <c:scaling>
          <c:orientation val="minMax"/>
          <c:max val="1.1500000000000001"/>
          <c:min val="-1.1400000000000001"/>
        </c:scaling>
        <c:delete val="1"/>
        <c:axPos val="l"/>
        <c:numFmt formatCode="0.000" sourceLinked="1"/>
        <c:majorTickMark val="out"/>
        <c:minorTickMark val="none"/>
        <c:tickLblPos val="nextTo"/>
        <c:crossAx val="442115791"/>
        <c:crosses val="autoZero"/>
        <c:crossBetween val="midCat"/>
      </c:valAx>
      <c:valAx>
        <c:axId val="442115791"/>
        <c:scaling>
          <c:orientation val="minMax"/>
          <c:max val="1.1400000000000001"/>
          <c:min val="-1.1500000000000001"/>
        </c:scaling>
        <c:delete val="1"/>
        <c:axPos val="t"/>
        <c:numFmt formatCode="0.000" sourceLinked="1"/>
        <c:majorTickMark val="out"/>
        <c:minorTickMark val="none"/>
        <c:tickLblPos val="nextTo"/>
        <c:crossAx val="442113391"/>
        <c:crosses val="max"/>
        <c:crossBetween val="midCat"/>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845A-4343-A5BD-2D763AC87FB4}"/>
              </c:ext>
            </c:extLst>
          </c:dPt>
          <c:dPt>
            <c:idx val="1"/>
            <c:bubble3D val="0"/>
            <c:spPr>
              <a:gradFill flip="none" rotWithShape="1">
                <a:gsLst>
                  <a:gs pos="0">
                    <a:schemeClr val="tx2">
                      <a:lumMod val="90000"/>
                      <a:lumOff val="10000"/>
                    </a:schemeClr>
                  </a:gs>
                  <a:gs pos="54000">
                    <a:srgbClr val="3DBEFF"/>
                  </a:gs>
                </a:gsLst>
                <a:lin ang="3600000" scaled="0"/>
                <a:tileRect/>
              </a:gradFill>
              <a:ln w="19050">
                <a:noFill/>
              </a:ln>
              <a:effectLst/>
            </c:spPr>
            <c:extLst>
              <c:ext xmlns:c16="http://schemas.microsoft.com/office/drawing/2014/chart" uri="{C3380CC4-5D6E-409C-BE32-E72D297353CC}">
                <c16:uniqueId val="{00000003-845A-4343-A5BD-2D763AC87FB4}"/>
              </c:ext>
            </c:extLst>
          </c:dPt>
          <c:val>
            <c:numRef>
              <c:f>Processing!$A$71:$B$71</c:f>
              <c:numCache>
                <c:formatCode>0%</c:formatCode>
                <c:ptCount val="2"/>
                <c:pt idx="0">
                  <c:v>0.64442179999999993</c:v>
                </c:pt>
                <c:pt idx="1">
                  <c:v>0.35557820000000012</c:v>
                </c:pt>
              </c:numCache>
            </c:numRef>
          </c:val>
          <c:extLst>
            <c:ext xmlns:c16="http://schemas.microsoft.com/office/drawing/2014/chart" uri="{C3380CC4-5D6E-409C-BE32-E72D297353CC}">
              <c16:uniqueId val="{00000004-845A-4343-A5BD-2D763AC87FB4}"/>
            </c:ext>
          </c:extLst>
        </c:ser>
        <c:dLbls>
          <c:showLegendKey val="0"/>
          <c:showVal val="0"/>
          <c:showCatName val="0"/>
          <c:showSerName val="0"/>
          <c:showPercent val="0"/>
          <c:showBubbleSize val="0"/>
          <c:showLeaderLines val="1"/>
        </c:dLbls>
        <c:firstSliceAng val="30"/>
        <c:holeSize val="75"/>
      </c:doughnutChart>
      <c:scatterChart>
        <c:scatterStyle val="lineMarker"/>
        <c:varyColors val="0"/>
        <c:ser>
          <c:idx val="1"/>
          <c:order val="1"/>
          <c:tx>
            <c:v>xy</c:v>
          </c:tx>
          <c:spPr>
            <a:ln w="25400" cap="rnd">
              <a:noFill/>
              <a:round/>
            </a:ln>
            <a:effectLst/>
          </c:spPr>
          <c:marker>
            <c:symbol val="circle"/>
            <c:size val="14"/>
            <c:spPr>
              <a:solidFill>
                <a:schemeClr val="accent2"/>
              </a:solidFill>
              <a:ln w="9525">
                <a:noFill/>
              </a:ln>
              <a:effectLst/>
            </c:spPr>
          </c:marker>
          <c:dPt>
            <c:idx val="0"/>
            <c:marker>
              <c:spPr>
                <a:solidFill>
                  <a:srgbClr val="3DBEFF"/>
                </a:solidFill>
                <a:ln w="9525">
                  <a:noFill/>
                </a:ln>
                <a:effectLst/>
              </c:spPr>
            </c:marker>
            <c:bubble3D val="0"/>
            <c:extLst>
              <c:ext xmlns:c16="http://schemas.microsoft.com/office/drawing/2014/chart" uri="{C3380CC4-5D6E-409C-BE32-E72D297353CC}">
                <c16:uniqueId val="{00000005-845A-4343-A5BD-2D763AC87FB4}"/>
              </c:ext>
            </c:extLst>
          </c:dPt>
          <c:dPt>
            <c:idx val="1"/>
            <c:marker>
              <c:spPr>
                <a:solidFill>
                  <a:srgbClr val="3DBEFF"/>
                </a:solidFill>
                <a:ln w="9525">
                  <a:noFill/>
                </a:ln>
                <a:effectLst/>
              </c:spPr>
            </c:marker>
            <c:bubble3D val="0"/>
            <c:extLst>
              <c:ext xmlns:c16="http://schemas.microsoft.com/office/drawing/2014/chart" uri="{C3380CC4-5D6E-409C-BE32-E72D297353CC}">
                <c16:uniqueId val="{00000006-845A-4343-A5BD-2D763AC87FB4}"/>
              </c:ext>
            </c:extLst>
          </c:dPt>
          <c:xVal>
            <c:numRef>
              <c:f>Processing!$C$71:$C$72</c:f>
              <c:numCache>
                <c:formatCode>0.00</c:formatCode>
                <c:ptCount val="2"/>
                <c:pt idx="0" formatCode="0.000">
                  <c:v>-0.99024825727532984</c:v>
                </c:pt>
                <c:pt idx="1">
                  <c:v>0.5</c:v>
                </c:pt>
              </c:numCache>
            </c:numRef>
          </c:xVal>
          <c:yVal>
            <c:numRef>
              <c:f>Processing!$D$71:$D$72</c:f>
              <c:numCache>
                <c:formatCode>0.00</c:formatCode>
                <c:ptCount val="2"/>
                <c:pt idx="0" formatCode="0.000">
                  <c:v>-0.13931399413975631</c:v>
                </c:pt>
                <c:pt idx="1">
                  <c:v>0.86599999999999999</c:v>
                </c:pt>
              </c:numCache>
            </c:numRef>
          </c:yVal>
          <c:smooth val="0"/>
          <c:extLst>
            <c:ext xmlns:c16="http://schemas.microsoft.com/office/drawing/2014/chart" uri="{C3380CC4-5D6E-409C-BE32-E72D297353CC}">
              <c16:uniqueId val="{00000007-845A-4343-A5BD-2D763AC87FB4}"/>
            </c:ext>
          </c:extLst>
        </c:ser>
        <c:dLbls>
          <c:showLegendKey val="0"/>
          <c:showVal val="0"/>
          <c:showCatName val="0"/>
          <c:showSerName val="0"/>
          <c:showPercent val="0"/>
          <c:showBubbleSize val="0"/>
        </c:dLbls>
        <c:axId val="442115791"/>
        <c:axId val="442113391"/>
      </c:scatterChart>
      <c:valAx>
        <c:axId val="442113391"/>
        <c:scaling>
          <c:orientation val="minMax"/>
          <c:max val="1.1500000000000001"/>
          <c:min val="-1.1400000000000001"/>
        </c:scaling>
        <c:delete val="1"/>
        <c:axPos val="l"/>
        <c:numFmt formatCode="0.000" sourceLinked="1"/>
        <c:majorTickMark val="out"/>
        <c:minorTickMark val="none"/>
        <c:tickLblPos val="nextTo"/>
        <c:crossAx val="442115791"/>
        <c:crosses val="autoZero"/>
        <c:crossBetween val="midCat"/>
      </c:valAx>
      <c:valAx>
        <c:axId val="442115791"/>
        <c:scaling>
          <c:orientation val="minMax"/>
          <c:max val="1.1400000000000001"/>
          <c:min val="-1.1500000000000001"/>
        </c:scaling>
        <c:delete val="1"/>
        <c:axPos val="b"/>
        <c:numFmt formatCode="0.000" sourceLinked="1"/>
        <c:majorTickMark val="out"/>
        <c:minorTickMark val="none"/>
        <c:tickLblPos val="nextTo"/>
        <c:crossAx val="442113391"/>
        <c:crosses val="autoZero"/>
        <c:crossBetween val="midCat"/>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FF2E9F"/>
                  </a:gs>
                  <a:gs pos="100000">
                    <a:srgbClr val="FF00E0"/>
                  </a:gs>
                </a:gsLst>
                <a:lin ang="2700000" scaled="0"/>
              </a:gradFill>
              <a:ln w="88900">
                <a:gradFill>
                  <a:gsLst>
                    <a:gs pos="0">
                      <a:srgbClr val="FF2E9F"/>
                    </a:gs>
                    <a:gs pos="100000">
                      <a:srgbClr val="FF00E0"/>
                    </a:gs>
                  </a:gsLst>
                  <a:lin ang="2700000" scaled="0"/>
                </a:gradFill>
              </a:ln>
              <a:effectLst/>
            </c:spPr>
            <c:extLst>
              <c:ext xmlns:c16="http://schemas.microsoft.com/office/drawing/2014/chart" uri="{C3380CC4-5D6E-409C-BE32-E72D297353CC}">
                <c16:uniqueId val="{00000001-D13B-47F2-9787-A0E529AD9AE1}"/>
              </c:ext>
            </c:extLst>
          </c:dPt>
          <c:dPt>
            <c:idx val="1"/>
            <c:bubble3D val="0"/>
            <c:spPr>
              <a:solidFill>
                <a:srgbClr val="741E51"/>
              </a:solidFill>
              <a:ln w="88900">
                <a:solidFill>
                  <a:srgbClr val="741E51"/>
                </a:solidFill>
              </a:ln>
              <a:effectLst/>
            </c:spPr>
            <c:extLst>
              <c:ext xmlns:c16="http://schemas.microsoft.com/office/drawing/2014/chart" uri="{C3380CC4-5D6E-409C-BE32-E72D297353CC}">
                <c16:uniqueId val="{00000003-D13B-47F2-9787-A0E529AD9AE1}"/>
              </c:ext>
            </c:extLst>
          </c:dPt>
          <c:dPt>
            <c:idx val="2"/>
            <c:bubble3D val="0"/>
            <c:spPr>
              <a:noFill/>
              <a:ln w="19050">
                <a:noFill/>
              </a:ln>
              <a:effectLst/>
            </c:spPr>
            <c:extLst>
              <c:ext xmlns:c16="http://schemas.microsoft.com/office/drawing/2014/chart" uri="{C3380CC4-5D6E-409C-BE32-E72D297353CC}">
                <c16:uniqueId val="{00000005-D13B-47F2-9787-A0E529AD9AE1}"/>
              </c:ext>
            </c:extLst>
          </c:dPt>
          <c:dPt>
            <c:idx val="3"/>
            <c:bubble3D val="0"/>
            <c:spPr>
              <a:gradFill>
                <a:gsLst>
                  <a:gs pos="100000">
                    <a:srgbClr val="C44DFF"/>
                  </a:gs>
                  <a:gs pos="0">
                    <a:srgbClr val="7B2FFF"/>
                  </a:gs>
                </a:gsLst>
                <a:lin ang="2700000" scaled="0"/>
              </a:gradFill>
              <a:ln w="88900">
                <a:gradFill>
                  <a:gsLst>
                    <a:gs pos="0">
                      <a:srgbClr val="7B2FFF"/>
                    </a:gs>
                    <a:gs pos="100000">
                      <a:srgbClr val="C44DFF"/>
                    </a:gs>
                  </a:gsLst>
                  <a:lin ang="2700000" scaled="0"/>
                </a:gradFill>
              </a:ln>
              <a:effectLst/>
            </c:spPr>
            <c:extLst>
              <c:ext xmlns:c16="http://schemas.microsoft.com/office/drawing/2014/chart" uri="{C3380CC4-5D6E-409C-BE32-E72D297353CC}">
                <c16:uniqueId val="{00000007-D13B-47F2-9787-A0E529AD9AE1}"/>
              </c:ext>
            </c:extLst>
          </c:dPt>
          <c:dPt>
            <c:idx val="4"/>
            <c:bubble3D val="0"/>
            <c:spPr>
              <a:solidFill>
                <a:srgbClr val="251B4C"/>
              </a:solidFill>
              <a:ln w="88900">
                <a:solidFill>
                  <a:srgbClr val="251B4C"/>
                </a:solidFill>
              </a:ln>
              <a:effectLst/>
            </c:spPr>
            <c:extLst>
              <c:ext xmlns:c16="http://schemas.microsoft.com/office/drawing/2014/chart" uri="{C3380CC4-5D6E-409C-BE32-E72D297353CC}">
                <c16:uniqueId val="{00000009-D13B-47F2-9787-A0E529AD9AE1}"/>
              </c:ext>
            </c:extLst>
          </c:dPt>
          <c:dPt>
            <c:idx val="5"/>
            <c:bubble3D val="0"/>
            <c:spPr>
              <a:noFill/>
              <a:ln w="19050">
                <a:noFill/>
              </a:ln>
              <a:effectLst/>
            </c:spPr>
            <c:extLst>
              <c:ext xmlns:c16="http://schemas.microsoft.com/office/drawing/2014/chart" uri="{C3380CC4-5D6E-409C-BE32-E72D297353CC}">
                <c16:uniqueId val="{0000000B-D13B-47F2-9787-A0E529AD9AE1}"/>
              </c:ext>
            </c:extLst>
          </c:dPt>
          <c:dPt>
            <c:idx val="6"/>
            <c:bubble3D val="0"/>
            <c:spPr>
              <a:gradFill>
                <a:gsLst>
                  <a:gs pos="0">
                    <a:srgbClr val="00F5FF"/>
                  </a:gs>
                  <a:gs pos="100000">
                    <a:srgbClr val="00A8FF"/>
                  </a:gs>
                </a:gsLst>
                <a:lin ang="2700000" scaled="0"/>
              </a:gradFill>
              <a:ln w="88900">
                <a:gradFill>
                  <a:gsLst>
                    <a:gs pos="0">
                      <a:srgbClr val="00F5FF"/>
                    </a:gs>
                    <a:gs pos="100000">
                      <a:srgbClr val="00A8FF"/>
                    </a:gs>
                  </a:gsLst>
                  <a:lin ang="2700000" scaled="0"/>
                </a:gradFill>
              </a:ln>
              <a:effectLst/>
            </c:spPr>
            <c:extLst>
              <c:ext xmlns:c16="http://schemas.microsoft.com/office/drawing/2014/chart" uri="{C3380CC4-5D6E-409C-BE32-E72D297353CC}">
                <c16:uniqueId val="{0000000D-D13B-47F2-9787-A0E529AD9AE1}"/>
              </c:ext>
            </c:extLst>
          </c:dPt>
          <c:dPt>
            <c:idx val="7"/>
            <c:bubble3D val="0"/>
            <c:spPr>
              <a:solidFill>
                <a:srgbClr val="004C4C"/>
              </a:solidFill>
              <a:ln w="88900">
                <a:solidFill>
                  <a:srgbClr val="004C4C"/>
                </a:solidFill>
              </a:ln>
              <a:effectLst/>
            </c:spPr>
            <c:extLst>
              <c:ext xmlns:c16="http://schemas.microsoft.com/office/drawing/2014/chart" uri="{C3380CC4-5D6E-409C-BE32-E72D297353CC}">
                <c16:uniqueId val="{0000000F-D13B-47F2-9787-A0E529AD9AE1}"/>
              </c:ext>
            </c:extLst>
          </c:dPt>
          <c:dPt>
            <c:idx val="8"/>
            <c:bubble3D val="0"/>
            <c:spPr>
              <a:noFill/>
              <a:ln w="19050">
                <a:noFill/>
              </a:ln>
              <a:effectLst/>
            </c:spPr>
            <c:extLst>
              <c:ext xmlns:c16="http://schemas.microsoft.com/office/drawing/2014/chart" uri="{C3380CC4-5D6E-409C-BE32-E72D297353CC}">
                <c16:uniqueId val="{00000011-D13B-47F2-9787-A0E529AD9AE1}"/>
              </c:ext>
            </c:extLst>
          </c:dPt>
          <c:dPt>
            <c:idx val="9"/>
            <c:bubble3D val="0"/>
            <c:spPr>
              <a:gradFill>
                <a:gsLst>
                  <a:gs pos="0">
                    <a:srgbClr val="A8FF3E"/>
                  </a:gs>
                  <a:gs pos="100000">
                    <a:srgbClr val="00FF9D"/>
                  </a:gs>
                </a:gsLst>
                <a:lin ang="2700000" scaled="0"/>
              </a:gradFill>
              <a:ln w="88900">
                <a:gradFill>
                  <a:gsLst>
                    <a:gs pos="0">
                      <a:srgbClr val="A8FF3E"/>
                    </a:gs>
                    <a:gs pos="100000">
                      <a:srgbClr val="00FF9D"/>
                    </a:gs>
                  </a:gsLst>
                  <a:lin ang="2700000" scaled="0"/>
                </a:gradFill>
              </a:ln>
              <a:effectLst/>
            </c:spPr>
            <c:extLst>
              <c:ext xmlns:c16="http://schemas.microsoft.com/office/drawing/2014/chart" uri="{C3380CC4-5D6E-409C-BE32-E72D297353CC}">
                <c16:uniqueId val="{00000013-D13B-47F2-9787-A0E529AD9AE1}"/>
              </c:ext>
            </c:extLst>
          </c:dPt>
          <c:dPt>
            <c:idx val="10"/>
            <c:bubble3D val="0"/>
            <c:spPr>
              <a:solidFill>
                <a:srgbClr val="274B04"/>
              </a:solidFill>
              <a:ln w="88900">
                <a:solidFill>
                  <a:srgbClr val="274B04"/>
                </a:solidFill>
              </a:ln>
              <a:effectLst/>
            </c:spPr>
            <c:extLst>
              <c:ext xmlns:c16="http://schemas.microsoft.com/office/drawing/2014/chart" uri="{C3380CC4-5D6E-409C-BE32-E72D297353CC}">
                <c16:uniqueId val="{00000015-D13B-47F2-9787-A0E529AD9AE1}"/>
              </c:ext>
            </c:extLst>
          </c:dPt>
          <c:dPt>
            <c:idx val="11"/>
            <c:bubble3D val="0"/>
            <c:spPr>
              <a:noFill/>
              <a:ln w="19050">
                <a:noFill/>
              </a:ln>
              <a:effectLst/>
            </c:spPr>
            <c:extLst>
              <c:ext xmlns:c16="http://schemas.microsoft.com/office/drawing/2014/chart" uri="{C3380CC4-5D6E-409C-BE32-E72D297353CC}">
                <c16:uniqueId val="{00000017-D13B-47F2-9787-A0E529AD9AE1}"/>
              </c:ext>
            </c:extLst>
          </c:dPt>
          <c:val>
            <c:numRef>
              <c:f>Processing!$E$77:$E$88</c:f>
              <c:numCache>
                <c:formatCode>0%</c:formatCode>
                <c:ptCount val="12"/>
                <c:pt idx="0">
                  <c:v>0.18245745330805849</c:v>
                </c:pt>
                <c:pt idx="1">
                  <c:v>#N/A</c:v>
                </c:pt>
                <c:pt idx="2">
                  <c:v>3.5000000000000003E-2</c:v>
                </c:pt>
                <c:pt idx="3">
                  <c:v>0.24152041280212397</c:v>
                </c:pt>
                <c:pt idx="4">
                  <c:v>#N/A</c:v>
                </c:pt>
                <c:pt idx="5">
                  <c:v>3.5000000000000003E-2</c:v>
                </c:pt>
                <c:pt idx="6">
                  <c:v>0.25129735107350759</c:v>
                </c:pt>
                <c:pt idx="7">
                  <c:v>#N/A</c:v>
                </c:pt>
                <c:pt idx="8">
                  <c:v>3.5000000000000003E-2</c:v>
                </c:pt>
                <c:pt idx="9">
                  <c:v>0.3247247828163099</c:v>
                </c:pt>
                <c:pt idx="10">
                  <c:v>#N/A</c:v>
                </c:pt>
                <c:pt idx="11">
                  <c:v>3.5000000000000003E-2</c:v>
                </c:pt>
              </c:numCache>
            </c:numRef>
          </c:val>
          <c:extLst>
            <c:ext xmlns:c16="http://schemas.microsoft.com/office/drawing/2014/chart" uri="{C3380CC4-5D6E-409C-BE32-E72D297353CC}">
              <c16:uniqueId val="{00000018-D13B-47F2-9787-A0E529AD9AE1}"/>
            </c:ext>
          </c:extLst>
        </c:ser>
        <c:dLbls>
          <c:showLegendKey val="0"/>
          <c:showVal val="0"/>
          <c:showCatName val="0"/>
          <c:showSerName val="0"/>
          <c:showPercent val="0"/>
          <c:showBubbleSize val="0"/>
          <c:showLeaderLines val="1"/>
        </c:dLbls>
        <c:firstSliceAng val="0"/>
        <c:holeSize val="6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2EC2-4623-A570-1D7F8A1AEDCB}"/>
              </c:ext>
            </c:extLst>
          </c:dPt>
          <c:dPt>
            <c:idx val="1"/>
            <c:bubble3D val="0"/>
            <c:spPr>
              <a:solidFill>
                <a:srgbClr val="0066FF"/>
              </a:solidFill>
              <a:ln w="19050">
                <a:noFill/>
              </a:ln>
              <a:effectLst/>
            </c:spPr>
            <c:extLst>
              <c:ext xmlns:c16="http://schemas.microsoft.com/office/drawing/2014/chart" uri="{C3380CC4-5D6E-409C-BE32-E72D297353CC}">
                <c16:uniqueId val="{00000003-2EC2-4623-A570-1D7F8A1AEDCB}"/>
              </c:ext>
            </c:extLst>
          </c:dPt>
          <c:dPt>
            <c:idx val="2"/>
            <c:bubble3D val="0"/>
            <c:spPr>
              <a:solidFill>
                <a:schemeClr val="tx2"/>
              </a:solidFill>
              <a:ln w="19050">
                <a:noFill/>
              </a:ln>
              <a:effectLst/>
            </c:spPr>
            <c:extLst>
              <c:ext xmlns:c16="http://schemas.microsoft.com/office/drawing/2014/chart" uri="{C3380CC4-5D6E-409C-BE32-E72D297353CC}">
                <c16:uniqueId val="{00000005-2EC2-4623-A570-1D7F8A1AEDCB}"/>
              </c:ext>
            </c:extLst>
          </c:dPt>
          <c:dPt>
            <c:idx val="3"/>
            <c:bubble3D val="0"/>
            <c:spPr>
              <a:solidFill>
                <a:srgbClr val="66FFFF"/>
              </a:solidFill>
              <a:ln w="19050">
                <a:noFill/>
              </a:ln>
              <a:effectLst/>
            </c:spPr>
            <c:extLst>
              <c:ext xmlns:c16="http://schemas.microsoft.com/office/drawing/2014/chart" uri="{C3380CC4-5D6E-409C-BE32-E72D297353CC}">
                <c16:uniqueId val="{00000007-2EC2-4623-A570-1D7F8A1AEDCB}"/>
              </c:ext>
            </c:extLst>
          </c:dPt>
          <c:cat>
            <c:strRef>
              <c:f>Processing!$A$51:$A$55</c:f>
              <c:strCache>
                <c:ptCount val="5"/>
                <c:pt idx="0">
                  <c:v>Accessories</c:v>
                </c:pt>
                <c:pt idx="1">
                  <c:v>Appliances</c:v>
                </c:pt>
                <c:pt idx="2">
                  <c:v>Furniture</c:v>
                </c:pt>
                <c:pt idx="3">
                  <c:v>Office Supplies</c:v>
                </c:pt>
                <c:pt idx="4">
                  <c:v>Technology</c:v>
                </c:pt>
              </c:strCache>
            </c:strRef>
          </c:cat>
          <c:val>
            <c:numRef>
              <c:f>Processing!$B$51:$B$55</c:f>
              <c:numCache>
                <c:formatCode>_("$"* #\ ##0_);_("$"* \(#\ ##0\);_("$"* "-"??_);_(@_)</c:formatCode>
                <c:ptCount val="5"/>
                <c:pt idx="0">
                  <c:v>89198.9</c:v>
                </c:pt>
                <c:pt idx="1">
                  <c:v>55714.75</c:v>
                </c:pt>
                <c:pt idx="2">
                  <c:v>64075.950000000004</c:v>
                </c:pt>
                <c:pt idx="3">
                  <c:v>88250.5</c:v>
                </c:pt>
                <c:pt idx="4">
                  <c:v>104424.49999999997</c:v>
                </c:pt>
              </c:numCache>
            </c:numRef>
          </c:val>
          <c:extLst>
            <c:ext xmlns:c16="http://schemas.microsoft.com/office/drawing/2014/chart" uri="{C3380CC4-5D6E-409C-BE32-E72D297353CC}">
              <c16:uniqueId val="{00000008-2EC2-4623-A570-1D7F8A1AEDCB}"/>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271317829457363E-2"/>
          <c:y val="0.14423076923076922"/>
          <c:w val="0.8294573643410853"/>
          <c:h val="0.71153846153846156"/>
        </c:manualLayout>
      </c:layout>
      <c:barChart>
        <c:barDir val="col"/>
        <c:grouping val="clustered"/>
        <c:varyColors val="0"/>
        <c:ser>
          <c:idx val="0"/>
          <c:order val="0"/>
          <c:spPr>
            <a:gradFill flip="none" rotWithShape="1">
              <a:gsLst>
                <a:gs pos="0">
                  <a:srgbClr val="FF00FF"/>
                </a:gs>
                <a:gs pos="100000">
                  <a:srgbClr val="9E78F9"/>
                </a:gs>
              </a:gsLst>
              <a:lin ang="5400000" scaled="0"/>
              <a:tileRect/>
            </a:gradFill>
            <a:ln>
              <a:noFill/>
            </a:ln>
            <a:effectLst/>
          </c:spPr>
          <c:invertIfNegative val="0"/>
          <c:dPt>
            <c:idx val="0"/>
            <c:invertIfNegative val="0"/>
            <c:bubble3D val="0"/>
            <c:spPr>
              <a:gradFill flip="none" rotWithShape="1">
                <a:gsLst>
                  <a:gs pos="0">
                    <a:srgbClr val="FF00FF">
                      <a:alpha val="50000"/>
                    </a:srgbClr>
                  </a:gs>
                  <a:gs pos="100000">
                    <a:srgbClr val="987CF0">
                      <a:alpha val="35000"/>
                    </a:srgbClr>
                  </a:gs>
                </a:gsLst>
                <a:lin ang="5400000" scaled="0"/>
                <a:tileRect/>
              </a:gradFill>
              <a:ln>
                <a:noFill/>
              </a:ln>
              <a:effectLst/>
            </c:spPr>
            <c:extLst>
              <c:ext xmlns:c16="http://schemas.microsoft.com/office/drawing/2014/chart" uri="{C3380CC4-5D6E-409C-BE32-E72D297353CC}">
                <c16:uniqueId val="{00000001-1A73-4CEC-87E4-EA81D61B4390}"/>
              </c:ext>
            </c:extLst>
          </c:dPt>
          <c:dPt>
            <c:idx val="1"/>
            <c:invertIfNegative val="0"/>
            <c:bubble3D val="0"/>
            <c:spPr>
              <a:gradFill flip="none" rotWithShape="1">
                <a:gsLst>
                  <a:gs pos="0">
                    <a:srgbClr val="FF00FF"/>
                  </a:gs>
                  <a:gs pos="100000">
                    <a:srgbClr val="987CF0"/>
                  </a:gs>
                </a:gsLst>
                <a:lin ang="5400000" scaled="0"/>
                <a:tileRect/>
              </a:gradFill>
              <a:ln>
                <a:noFill/>
              </a:ln>
              <a:effectLst/>
            </c:spPr>
            <c:extLst>
              <c:ext xmlns:c16="http://schemas.microsoft.com/office/drawing/2014/chart" uri="{C3380CC4-5D6E-409C-BE32-E72D297353CC}">
                <c16:uniqueId val="{00000003-1A73-4CEC-87E4-EA81D61B4390}"/>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35844961240310069"/>
                      <c:h val="0.25831188168786595"/>
                    </c:manualLayout>
                  </c15:layout>
                </c:ext>
                <c:ext xmlns:c16="http://schemas.microsoft.com/office/drawing/2014/chart" uri="{C3380CC4-5D6E-409C-BE32-E72D297353CC}">
                  <c16:uniqueId val="{00000001-1A73-4CEC-87E4-EA81D61B4390}"/>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9720930232558133"/>
                      <c:h val="0.25831188168786595"/>
                    </c:manualLayout>
                  </c15:layout>
                </c:ext>
                <c:ext xmlns:c16="http://schemas.microsoft.com/office/drawing/2014/chart" uri="{C3380CC4-5D6E-409C-BE32-E72D297353CC}">
                  <c16:uniqueId val="{00000003-1A73-4CEC-87E4-EA81D61B4390}"/>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Processing!$A$93:$A$94</c:f>
              <c:strCache>
                <c:ptCount val="2"/>
                <c:pt idx="0">
                  <c:v>New</c:v>
                </c:pt>
                <c:pt idx="1">
                  <c:v>Returning</c:v>
                </c:pt>
              </c:strCache>
            </c:strRef>
          </c:cat>
          <c:val>
            <c:numRef>
              <c:f>Processing!$B$93:$B$94</c:f>
              <c:numCache>
                <c:formatCode>_("$"* #\ ##0_);_("$"* \(#\ ##0\);_("$"* "-"??_);_(@_)</c:formatCode>
                <c:ptCount val="2"/>
                <c:pt idx="0">
                  <c:v>154300.85</c:v>
                </c:pt>
                <c:pt idx="1">
                  <c:v>247363.75000000003</c:v>
                </c:pt>
              </c:numCache>
            </c:numRef>
          </c:val>
          <c:extLst>
            <c:ext xmlns:c16="http://schemas.microsoft.com/office/drawing/2014/chart" uri="{C3380CC4-5D6E-409C-BE32-E72D297353CC}">
              <c16:uniqueId val="{00000004-1A73-4CEC-87E4-EA81D61B4390}"/>
            </c:ext>
          </c:extLst>
        </c:ser>
        <c:dLbls>
          <c:dLblPos val="outEnd"/>
          <c:showLegendKey val="0"/>
          <c:showVal val="1"/>
          <c:showCatName val="0"/>
          <c:showSerName val="0"/>
          <c:showPercent val="0"/>
          <c:showBubbleSize val="0"/>
        </c:dLbls>
        <c:gapWidth val="80"/>
        <c:overlap val="-27"/>
        <c:axId val="29424799"/>
        <c:axId val="29411359"/>
      </c:barChart>
      <c:catAx>
        <c:axId val="29424799"/>
        <c:scaling>
          <c:orientation val="minMax"/>
        </c:scaling>
        <c:delete val="0"/>
        <c:axPos val="b"/>
        <c:numFmt formatCode="General" sourceLinked="1"/>
        <c:majorTickMark val="out"/>
        <c:minorTickMark val="none"/>
        <c:tickLblPos val="nextTo"/>
        <c:spPr>
          <a:noFill/>
          <a:ln w="9525" cap="flat" cmpd="sng" algn="ctr">
            <a:solidFill>
              <a:srgbClr val="4A659C">
                <a:alpha val="46000"/>
              </a:srgbClr>
            </a:solidFill>
            <a:round/>
          </a:ln>
          <a:effectLst/>
        </c:spPr>
        <c:txPr>
          <a:bodyPr rot="-60000000" spcFirstLastPara="1" vertOverflow="ellipsis" vert="horz" wrap="square" anchor="ctr" anchorCtr="1"/>
          <a:lstStyle/>
          <a:p>
            <a:pPr>
              <a:defRPr sz="900" b="0" i="0" u="none" strike="noStrike" kern="1200" baseline="0">
                <a:solidFill>
                  <a:srgbClr val="4A659C"/>
                </a:solidFill>
                <a:latin typeface="+mn-lt"/>
                <a:ea typeface="+mn-ea"/>
                <a:cs typeface="+mn-cs"/>
              </a:defRPr>
            </a:pPr>
            <a:endParaRPr lang="en-US"/>
          </a:p>
        </c:txPr>
        <c:crossAx val="29411359"/>
        <c:crosses val="autoZero"/>
        <c:auto val="1"/>
        <c:lblAlgn val="ctr"/>
        <c:lblOffset val="100"/>
        <c:noMultiLvlLbl val="0"/>
      </c:catAx>
      <c:valAx>
        <c:axId val="29411359"/>
        <c:scaling>
          <c:orientation val="minMax"/>
          <c:min val="0"/>
        </c:scaling>
        <c:delete val="1"/>
        <c:axPos val="l"/>
        <c:majorGridlines>
          <c:spPr>
            <a:ln w="9525" cap="flat" cmpd="sng" algn="ctr">
              <a:solidFill>
                <a:srgbClr val="97A5D1">
                  <a:alpha val="22000"/>
                </a:srgbClr>
              </a:solidFill>
              <a:prstDash val="dash"/>
              <a:round/>
            </a:ln>
            <a:effectLst/>
          </c:spPr>
        </c:majorGridlines>
        <c:numFmt formatCode="_(&quot;$&quot;* #\ ##0_);_(&quot;$&quot;* \(#\ ##0\);_(&quot;$&quot;* &quot;-&quot;??_);_(@_)" sourceLinked="1"/>
        <c:majorTickMark val="out"/>
        <c:minorTickMark val="none"/>
        <c:tickLblPos val="nextTo"/>
        <c:crossAx val="2942479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gradFill>
              <a:gsLst>
                <a:gs pos="5000">
                  <a:srgbClr val="5B20BA"/>
                </a:gs>
                <a:gs pos="100000">
                  <a:srgbClr val="7634DC"/>
                </a:gs>
              </a:gsLst>
              <a:lin ang="5400000" scaled="1"/>
            </a:gradFill>
            <a:ln w="107950">
              <a:gradFill>
                <a:gsLst>
                  <a:gs pos="14000">
                    <a:srgbClr val="5B20BA"/>
                  </a:gs>
                  <a:gs pos="100000">
                    <a:srgbClr val="7634DC"/>
                  </a:gs>
                </a:gsLst>
                <a:lin ang="5400000" scaled="1"/>
              </a:grad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Processing!$B$18:$B$29</c:f>
              <c:numCache>
                <c:formatCode>[&gt;=1000000]"$"0.00\ \ "M";[&gt;=1000]"$"0\ "K";0</c:formatCode>
                <c:ptCount val="12"/>
                <c:pt idx="0">
                  <c:v>10643.660000000002</c:v>
                </c:pt>
                <c:pt idx="1">
                  <c:v>19235.100000000002</c:v>
                </c:pt>
                <c:pt idx="2">
                  <c:v>9731.260000000002</c:v>
                </c:pt>
                <c:pt idx="3">
                  <c:v>14386.62</c:v>
                </c:pt>
                <c:pt idx="4">
                  <c:v>9729.0699999999979</c:v>
                </c:pt>
                <c:pt idx="5">
                  <c:v>9734.61</c:v>
                </c:pt>
                <c:pt idx="6">
                  <c:v>14599.379999999994</c:v>
                </c:pt>
                <c:pt idx="7">
                  <c:v>11460.12</c:v>
                </c:pt>
                <c:pt idx="8">
                  <c:v>11288.62</c:v>
                </c:pt>
                <c:pt idx="9">
                  <c:v>6645.08</c:v>
                </c:pt>
                <c:pt idx="10">
                  <c:v>15178.620000000003</c:v>
                </c:pt>
                <c:pt idx="11">
                  <c:v>11535.65</c:v>
                </c:pt>
              </c:numCache>
            </c:numRef>
          </c:val>
          <c:extLst>
            <c:ext xmlns:c16="http://schemas.microsoft.com/office/drawing/2014/chart" uri="{C3380CC4-5D6E-409C-BE32-E72D297353CC}">
              <c16:uniqueId val="{00000000-E0E3-4121-8894-7A15F6B52992}"/>
            </c:ext>
          </c:extLst>
        </c:ser>
        <c:dLbls>
          <c:showLegendKey val="0"/>
          <c:showVal val="0"/>
          <c:showCatName val="0"/>
          <c:showSerName val="0"/>
          <c:showPercent val="0"/>
          <c:showBubbleSize val="0"/>
        </c:dLbls>
        <c:gapWidth val="80"/>
        <c:overlap val="100"/>
        <c:axId val="656207119"/>
        <c:axId val="656205679"/>
      </c:barChart>
      <c:barChart>
        <c:barDir val="col"/>
        <c:grouping val="stacked"/>
        <c:varyColors val="0"/>
        <c:ser>
          <c:idx val="1"/>
          <c:order val="1"/>
          <c:spPr>
            <a:gradFill>
              <a:gsLst>
                <a:gs pos="5000">
                  <a:srgbClr val="A23CF4"/>
                </a:gs>
                <a:gs pos="100000">
                  <a:srgbClr val="C484F8"/>
                </a:gs>
              </a:gsLst>
              <a:lin ang="5400000" scaled="1"/>
            </a:gradFill>
            <a:ln w="107950">
              <a:gradFill>
                <a:gsLst>
                  <a:gs pos="9000">
                    <a:srgbClr val="A23CF4"/>
                  </a:gs>
                  <a:gs pos="100000">
                    <a:srgbClr val="C484F8"/>
                  </a:gs>
                </a:gsLst>
                <a:lin ang="5400000" scaled="1"/>
              </a:gradFill>
            </a:ln>
            <a:effectLst/>
          </c:spPr>
          <c:invertIfNegative val="0"/>
          <c:cat>
            <c:strRef>
              <c:f>Processing!$A$18:$A$29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Processing!$C$18:$C$29</c:f>
              <c:numCache>
                <c:formatCode>[&gt;=1000000]"$"0.00\ \ "M";[&gt;=1000]"$"0\ "K";0</c:formatCode>
                <c:ptCount val="12"/>
                <c:pt idx="0">
                  <c:v>10643.660000000002</c:v>
                </c:pt>
                <c:pt idx="1">
                  <c:v>19235.100000000002</c:v>
                </c:pt>
                <c:pt idx="2">
                  <c:v>9731.260000000002</c:v>
                </c:pt>
                <c:pt idx="3">
                  <c:v>14386.62</c:v>
                </c:pt>
                <c:pt idx="4">
                  <c:v>9729.0699999999979</c:v>
                </c:pt>
                <c:pt idx="5">
                  <c:v>9734.61</c:v>
                </c:pt>
                <c:pt idx="6">
                  <c:v>14599.379999999994</c:v>
                </c:pt>
                <c:pt idx="7">
                  <c:v>11460.12</c:v>
                </c:pt>
                <c:pt idx="8">
                  <c:v>11288.62</c:v>
                </c:pt>
                <c:pt idx="9">
                  <c:v>6645.08</c:v>
                </c:pt>
                <c:pt idx="10">
                  <c:v>15178.620000000003</c:v>
                </c:pt>
                <c:pt idx="11" formatCode="[&gt;=1000000]&quot;$&quot;0.0\ \ &quot;M&quot;;[&gt;=1000]&quot;$&quot;0\ &quot;K&quot;;&quot;$&quot;0">
                  <c:v>11535.65</c:v>
                </c:pt>
              </c:numCache>
            </c:numRef>
          </c:val>
          <c:extLst>
            <c:ext xmlns:c16="http://schemas.microsoft.com/office/drawing/2014/chart" uri="{C3380CC4-5D6E-409C-BE32-E72D297353CC}">
              <c16:uniqueId val="{00000001-E0E3-4121-8894-7A15F6B52992}"/>
            </c:ext>
          </c:extLst>
        </c:ser>
        <c:ser>
          <c:idx val="2"/>
          <c:order val="2"/>
          <c:spPr>
            <a:noFill/>
            <a:ln>
              <a:noFill/>
            </a:ln>
            <a:effectLst/>
          </c:spPr>
          <c:invertIfNegative val="0"/>
          <c:dLbls>
            <c:dLbl>
              <c:idx val="0"/>
              <c:tx>
                <c:rich>
                  <a:bodyPr/>
                  <a:lstStyle/>
                  <a:p>
                    <a:fld id="{C2F23A80-938D-4A74-A924-7F6D1E6D2D60}" type="CELLRANGE">
                      <a:rPr lang="en-US"/>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0E3-4121-8894-7A15F6B52992}"/>
                </c:ext>
              </c:extLst>
            </c:dLbl>
            <c:dLbl>
              <c:idx val="1"/>
              <c:tx>
                <c:rich>
                  <a:bodyPr/>
                  <a:lstStyle/>
                  <a:p>
                    <a:fld id="{BC33A295-7063-414F-AD47-389352A8C8BD}"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0E3-4121-8894-7A15F6B52992}"/>
                </c:ext>
              </c:extLst>
            </c:dLbl>
            <c:dLbl>
              <c:idx val="2"/>
              <c:tx>
                <c:rich>
                  <a:bodyPr/>
                  <a:lstStyle/>
                  <a:p>
                    <a:fld id="{D01C1649-4CF6-43F2-A7B3-8CB89554FFEC}"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0E3-4121-8894-7A15F6B52992}"/>
                </c:ext>
              </c:extLst>
            </c:dLbl>
            <c:dLbl>
              <c:idx val="3"/>
              <c:tx>
                <c:rich>
                  <a:bodyPr/>
                  <a:lstStyle/>
                  <a:p>
                    <a:fld id="{69A6E150-2B11-4A5A-8246-FA0E148C5EE9}"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0E3-4121-8894-7A15F6B52992}"/>
                </c:ext>
              </c:extLst>
            </c:dLbl>
            <c:dLbl>
              <c:idx val="4"/>
              <c:tx>
                <c:rich>
                  <a:bodyPr/>
                  <a:lstStyle/>
                  <a:p>
                    <a:fld id="{A183151E-6636-49F1-9923-4523F53AC40B}"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0E3-4121-8894-7A15F6B52992}"/>
                </c:ext>
              </c:extLst>
            </c:dLbl>
            <c:dLbl>
              <c:idx val="5"/>
              <c:tx>
                <c:rich>
                  <a:bodyPr/>
                  <a:lstStyle/>
                  <a:p>
                    <a:fld id="{9941C4B0-8978-4D67-97B7-AC4D75FADD27}"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0E3-4121-8894-7A15F6B52992}"/>
                </c:ext>
              </c:extLst>
            </c:dLbl>
            <c:dLbl>
              <c:idx val="6"/>
              <c:tx>
                <c:rich>
                  <a:bodyPr/>
                  <a:lstStyle/>
                  <a:p>
                    <a:fld id="{71B87243-C430-4BDB-A75E-0979A1E9CF9D}"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0E3-4121-8894-7A15F6B52992}"/>
                </c:ext>
              </c:extLst>
            </c:dLbl>
            <c:dLbl>
              <c:idx val="7"/>
              <c:tx>
                <c:rich>
                  <a:bodyPr/>
                  <a:lstStyle/>
                  <a:p>
                    <a:fld id="{35C2BFF0-4362-4FBE-BD80-0C03002FDAD4}"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0E3-4121-8894-7A15F6B52992}"/>
                </c:ext>
              </c:extLst>
            </c:dLbl>
            <c:dLbl>
              <c:idx val="8"/>
              <c:tx>
                <c:rich>
                  <a:bodyPr/>
                  <a:lstStyle/>
                  <a:p>
                    <a:fld id="{98961997-EFCD-4F27-A93F-5F2AD6264156}"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0E3-4121-8894-7A15F6B52992}"/>
                </c:ext>
              </c:extLst>
            </c:dLbl>
            <c:dLbl>
              <c:idx val="9"/>
              <c:tx>
                <c:rich>
                  <a:bodyPr/>
                  <a:lstStyle/>
                  <a:p>
                    <a:fld id="{5B2D986A-102A-4F88-8AA2-D5C2A55187E6}"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0E3-4121-8894-7A15F6B52992}"/>
                </c:ext>
              </c:extLst>
            </c:dLbl>
            <c:dLbl>
              <c:idx val="10"/>
              <c:tx>
                <c:rich>
                  <a:bodyPr/>
                  <a:lstStyle/>
                  <a:p>
                    <a:fld id="{1A8A7056-C20E-4853-A6A9-041D607B364D}"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0E3-4121-8894-7A15F6B52992}"/>
                </c:ext>
              </c:extLst>
            </c:dLbl>
            <c:dLbl>
              <c:idx val="11"/>
              <c:tx>
                <c:rich>
                  <a:bodyPr/>
                  <a:lstStyle/>
                  <a:p>
                    <a:fld id="{5E8999DA-B4AD-432C-BA8B-11F2BEBD990B}" type="CELLRANGE">
                      <a:rPr lang="fr-FR"/>
                      <a:pPr/>
                      <a:t>[PLAGECELL]</a:t>
                    </a:fld>
                    <a:endParaRPr lang="fr-FR"/>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0E3-4121-8894-7A15F6B529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1C4D9"/>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val>
            <c:numRef>
              <c:f>Processing!$D$18:$D$29</c:f>
              <c:numCache>
                <c:formatCode>[&gt;=1000000]"$"0.00\ \ "M";[&gt;=1000]"$"0\ "K";0</c:formatCode>
                <c:ptCount val="12"/>
                <c:pt idx="0">
                  <c:v>961.75500000000011</c:v>
                </c:pt>
                <c:pt idx="1">
                  <c:v>961.75500000000011</c:v>
                </c:pt>
                <c:pt idx="2">
                  <c:v>961.75500000000011</c:v>
                </c:pt>
                <c:pt idx="3">
                  <c:v>961.75500000000011</c:v>
                </c:pt>
                <c:pt idx="4">
                  <c:v>961.75500000000011</c:v>
                </c:pt>
                <c:pt idx="5">
                  <c:v>961.75500000000011</c:v>
                </c:pt>
                <c:pt idx="6">
                  <c:v>961.75500000000011</c:v>
                </c:pt>
                <c:pt idx="7">
                  <c:v>961.75500000000011</c:v>
                </c:pt>
                <c:pt idx="8">
                  <c:v>961.75500000000011</c:v>
                </c:pt>
                <c:pt idx="9">
                  <c:v>961.75500000000011</c:v>
                </c:pt>
                <c:pt idx="10">
                  <c:v>961.75500000000011</c:v>
                </c:pt>
                <c:pt idx="11">
                  <c:v>961.75500000000011</c:v>
                </c:pt>
              </c:numCache>
            </c:numRef>
          </c:val>
          <c:extLst>
            <c:ext xmlns:c15="http://schemas.microsoft.com/office/drawing/2012/chart" uri="{02D57815-91ED-43cb-92C2-25804820EDAC}">
              <c15:datalabelsRange>
                <c15:f>Processing!$C$18:$C$29</c15:f>
                <c15:dlblRangeCache>
                  <c:ptCount val="12"/>
                  <c:pt idx="0">
                    <c:v>$11K</c:v>
                  </c:pt>
                  <c:pt idx="1">
                    <c:v>$19K</c:v>
                  </c:pt>
                  <c:pt idx="2">
                    <c:v>$10K</c:v>
                  </c:pt>
                  <c:pt idx="3">
                    <c:v>$14K</c:v>
                  </c:pt>
                  <c:pt idx="4">
                    <c:v>$10K</c:v>
                  </c:pt>
                  <c:pt idx="5">
                    <c:v>$10K</c:v>
                  </c:pt>
                  <c:pt idx="6">
                    <c:v>$15K</c:v>
                  </c:pt>
                  <c:pt idx="7">
                    <c:v>$11K</c:v>
                  </c:pt>
                  <c:pt idx="8">
                    <c:v>$11K</c:v>
                  </c:pt>
                  <c:pt idx="9">
                    <c:v>$7K</c:v>
                  </c:pt>
                  <c:pt idx="10">
                    <c:v>$15K</c:v>
                  </c:pt>
                  <c:pt idx="11">
                    <c:v>$12K</c:v>
                  </c:pt>
                </c15:dlblRangeCache>
              </c15:datalabelsRange>
            </c:ext>
            <c:ext xmlns:c16="http://schemas.microsoft.com/office/drawing/2014/chart" uri="{C3380CC4-5D6E-409C-BE32-E72D297353CC}">
              <c16:uniqueId val="{0000000E-E0E3-4121-8894-7A15F6B52992}"/>
            </c:ext>
          </c:extLst>
        </c:ser>
        <c:dLbls>
          <c:showLegendKey val="0"/>
          <c:showVal val="0"/>
          <c:showCatName val="0"/>
          <c:showSerName val="0"/>
          <c:showPercent val="0"/>
          <c:showBubbleSize val="0"/>
        </c:dLbls>
        <c:gapWidth val="80"/>
        <c:overlap val="100"/>
        <c:axId val="656211919"/>
        <c:axId val="656215279"/>
      </c:barChart>
      <c:catAx>
        <c:axId val="656207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656205679"/>
        <c:crosses val="autoZero"/>
        <c:auto val="1"/>
        <c:lblAlgn val="ctr"/>
        <c:lblOffset val="100"/>
        <c:noMultiLvlLbl val="0"/>
      </c:catAx>
      <c:valAx>
        <c:axId val="656205679"/>
        <c:scaling>
          <c:orientation val="minMax"/>
        </c:scaling>
        <c:delete val="0"/>
        <c:axPos val="l"/>
        <c:majorGridlines>
          <c:spPr>
            <a:ln w="9525" cap="flat" cmpd="sng" algn="ctr">
              <a:solidFill>
                <a:srgbClr val="545C8A">
                  <a:alpha val="30000"/>
                </a:srgbClr>
              </a:solidFill>
              <a:round/>
            </a:ln>
            <a:effectLst/>
          </c:spPr>
        </c:majorGridlines>
        <c:numFmt formatCode="[&gt;=1000000]&quot;$&quot;0.00\ \ &quot;M&quot;;[&gt;=1000]&quot;$&quot;0\ &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45C8A"/>
                </a:solidFill>
                <a:latin typeface="+mn-lt"/>
                <a:ea typeface="+mn-ea"/>
                <a:cs typeface="+mn-cs"/>
              </a:defRPr>
            </a:pPr>
            <a:endParaRPr lang="en-US"/>
          </a:p>
        </c:txPr>
        <c:crossAx val="656207119"/>
        <c:crosses val="autoZero"/>
        <c:crossBetween val="between"/>
      </c:valAx>
      <c:valAx>
        <c:axId val="656215279"/>
        <c:scaling>
          <c:orientation val="minMax"/>
        </c:scaling>
        <c:delete val="1"/>
        <c:axPos val="r"/>
        <c:numFmt formatCode="[&gt;=1000000]&quot;$&quot;0.00\ \ &quot;M&quot;;[&gt;=1000]&quot;$&quot;0\ &quot;K&quot;;0" sourceLinked="1"/>
        <c:majorTickMark val="out"/>
        <c:minorTickMark val="none"/>
        <c:tickLblPos val="nextTo"/>
        <c:crossAx val="656211919"/>
        <c:crosses val="max"/>
        <c:crossBetween val="between"/>
      </c:valAx>
      <c:catAx>
        <c:axId val="656211919"/>
        <c:scaling>
          <c:orientation val="minMax"/>
        </c:scaling>
        <c:delete val="1"/>
        <c:axPos val="b"/>
        <c:numFmt formatCode="General" sourceLinked="1"/>
        <c:majorTickMark val="out"/>
        <c:minorTickMark val="none"/>
        <c:tickLblPos val="nextTo"/>
        <c:crossAx val="65621527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1"/>
          <c:order val="0"/>
          <c:spPr>
            <a:ln>
              <a:noFill/>
            </a:ln>
          </c:spPr>
          <c:dPt>
            <c:idx val="0"/>
            <c:bubble3D val="0"/>
            <c:spPr>
              <a:gradFill>
                <a:gsLst>
                  <a:gs pos="0">
                    <a:srgbClr val="03C0C0"/>
                  </a:gs>
                  <a:gs pos="100000">
                    <a:srgbClr val="007376"/>
                  </a:gs>
                </a:gsLst>
                <a:lin ang="5400000" scaled="0"/>
              </a:gradFill>
              <a:ln>
                <a:noFill/>
              </a:ln>
              <a:effectLst>
                <a:outerShdw blurRad="63500" dist="25400" sx="102000" sy="102000" algn="ctr" rotWithShape="0">
                  <a:prstClr val="black">
                    <a:alpha val="40000"/>
                  </a:prstClr>
                </a:outerShdw>
              </a:effectLst>
            </c:spPr>
            <c:extLst>
              <c:ext xmlns:c16="http://schemas.microsoft.com/office/drawing/2014/chart" uri="{C3380CC4-5D6E-409C-BE32-E72D297353CC}">
                <c16:uniqueId val="{00000001-937E-427F-8622-42F4356BD58E}"/>
              </c:ext>
            </c:extLst>
          </c:dPt>
          <c:dPt>
            <c:idx val="1"/>
            <c:bubble3D val="0"/>
            <c:spPr>
              <a:noFill/>
              <a:ln>
                <a:noFill/>
              </a:ln>
            </c:spPr>
            <c:extLst>
              <c:ext xmlns:c16="http://schemas.microsoft.com/office/drawing/2014/chart" uri="{C3380CC4-5D6E-409C-BE32-E72D297353CC}">
                <c16:uniqueId val="{00000003-937E-427F-8622-42F4356BD58E}"/>
              </c:ext>
            </c:extLst>
          </c:dPt>
          <c:dPt>
            <c:idx val="2"/>
            <c:bubble3D val="0"/>
            <c:spPr>
              <a:gradFill flip="none" rotWithShape="1">
                <a:gsLst>
                  <a:gs pos="0">
                    <a:srgbClr val="4695B8"/>
                  </a:gs>
                  <a:gs pos="100000">
                    <a:srgbClr val="152E3F"/>
                  </a:gs>
                </a:gsLst>
                <a:path path="circle">
                  <a:fillToRect r="100000" b="100000"/>
                </a:path>
                <a:tileRect l="-100000" t="-100000"/>
              </a:gradFill>
              <a:ln>
                <a:noFill/>
              </a:ln>
              <a:effectLst>
                <a:outerShdw blurRad="63500" dist="25400" dir="8880000" sx="102000" sy="102000" algn="ctr" rotWithShape="0">
                  <a:prstClr val="black">
                    <a:alpha val="40000"/>
                  </a:prstClr>
                </a:outerShdw>
              </a:effectLst>
            </c:spPr>
            <c:extLst>
              <c:ext xmlns:c16="http://schemas.microsoft.com/office/drawing/2014/chart" uri="{C3380CC4-5D6E-409C-BE32-E72D297353CC}">
                <c16:uniqueId val="{00000005-937E-427F-8622-42F4356BD58E}"/>
              </c:ext>
            </c:extLst>
          </c:dPt>
          <c:dPt>
            <c:idx val="3"/>
            <c:bubble3D val="0"/>
            <c:spPr>
              <a:noFill/>
              <a:ln>
                <a:noFill/>
              </a:ln>
            </c:spPr>
            <c:extLst>
              <c:ext xmlns:c16="http://schemas.microsoft.com/office/drawing/2014/chart" uri="{C3380CC4-5D6E-409C-BE32-E72D297353CC}">
                <c16:uniqueId val="{00000007-937E-427F-8622-42F4356BD58E}"/>
              </c:ext>
            </c:extLst>
          </c:dPt>
          <c:cat>
            <c:strRef>
              <c:f>Processing!$A$60:$A$63</c:f>
              <c:strCache>
                <c:ptCount val="4"/>
                <c:pt idx="0">
                  <c:v>Consumer</c:v>
                </c:pt>
                <c:pt idx="1">
                  <c:v>Corporate</c:v>
                </c:pt>
                <c:pt idx="2">
                  <c:v>Enterprise</c:v>
                </c:pt>
                <c:pt idx="3">
                  <c:v>Retail</c:v>
                </c:pt>
              </c:strCache>
            </c:strRef>
          </c:cat>
          <c:val>
            <c:numRef>
              <c:f>Processing!$B$60:$B$63</c:f>
              <c:numCache>
                <c:formatCode>_("$"* #\ ##0_);_("$"* \(#\ ##0\);_("$"* "-"??_);_(@_)</c:formatCode>
                <c:ptCount val="4"/>
                <c:pt idx="0">
                  <c:v>79123.5</c:v>
                </c:pt>
                <c:pt idx="1">
                  <c:v>85563.199999999997</c:v>
                </c:pt>
                <c:pt idx="2">
                  <c:v>75437.7</c:v>
                </c:pt>
                <c:pt idx="3">
                  <c:v>161540.20000000001</c:v>
                </c:pt>
              </c:numCache>
            </c:numRef>
          </c:val>
          <c:extLst>
            <c:ext xmlns:c16="http://schemas.microsoft.com/office/drawing/2014/chart" uri="{C3380CC4-5D6E-409C-BE32-E72D297353CC}">
              <c16:uniqueId val="{00000008-937E-427F-8622-42F4356BD58E}"/>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5DD8-49BD-A3E3-753B3C970726}"/>
              </c:ext>
            </c:extLst>
          </c:dPt>
          <c:dPt>
            <c:idx val="1"/>
            <c:bubble3D val="0"/>
            <c:spPr>
              <a:gradFill flip="none" rotWithShape="1">
                <a:gsLst>
                  <a:gs pos="0">
                    <a:srgbClr val="00DBCA"/>
                  </a:gs>
                  <a:gs pos="97000">
                    <a:srgbClr val="03AD91"/>
                  </a:gs>
                </a:gsLst>
                <a:lin ang="13500000" scaled="1"/>
                <a:tileRect/>
              </a:gradFill>
              <a:ln w="19050">
                <a:noFill/>
              </a:ln>
              <a:effectLst>
                <a:outerShdw blurRad="50800" dist="63500" dir="2700000" algn="tl" rotWithShape="0">
                  <a:prstClr val="black">
                    <a:alpha val="40000"/>
                  </a:prstClr>
                </a:outerShdw>
              </a:effectLst>
            </c:spPr>
            <c:extLst>
              <c:ext xmlns:c16="http://schemas.microsoft.com/office/drawing/2014/chart" uri="{C3380CC4-5D6E-409C-BE32-E72D297353CC}">
                <c16:uniqueId val="{00000003-5DD8-49BD-A3E3-753B3C970726}"/>
              </c:ext>
            </c:extLst>
          </c:dPt>
          <c:dPt>
            <c:idx val="2"/>
            <c:bubble3D val="0"/>
            <c:spPr>
              <a:noFill/>
              <a:ln w="19050">
                <a:noFill/>
              </a:ln>
              <a:effectLst/>
            </c:spPr>
            <c:extLst>
              <c:ext xmlns:c16="http://schemas.microsoft.com/office/drawing/2014/chart" uri="{C3380CC4-5D6E-409C-BE32-E72D297353CC}">
                <c16:uniqueId val="{00000005-5DD8-49BD-A3E3-753B3C970726}"/>
              </c:ext>
            </c:extLst>
          </c:dPt>
          <c:dPt>
            <c:idx val="3"/>
            <c:bubble3D val="0"/>
            <c:spPr>
              <a:noFill/>
              <a:ln w="19050">
                <a:noFill/>
              </a:ln>
              <a:effectLst/>
            </c:spPr>
            <c:extLst>
              <c:ext xmlns:c16="http://schemas.microsoft.com/office/drawing/2014/chart" uri="{C3380CC4-5D6E-409C-BE32-E72D297353CC}">
                <c16:uniqueId val="{00000007-5DD8-49BD-A3E3-753B3C970726}"/>
              </c:ext>
            </c:extLst>
          </c:dPt>
          <c:cat>
            <c:strRef>
              <c:f>Processing!$A$60:$A$63</c:f>
              <c:strCache>
                <c:ptCount val="4"/>
                <c:pt idx="0">
                  <c:v>Consumer</c:v>
                </c:pt>
                <c:pt idx="1">
                  <c:v>Corporate</c:v>
                </c:pt>
                <c:pt idx="2">
                  <c:v>Enterprise</c:v>
                </c:pt>
                <c:pt idx="3">
                  <c:v>Retail</c:v>
                </c:pt>
              </c:strCache>
            </c:strRef>
          </c:cat>
          <c:val>
            <c:numRef>
              <c:f>Processing!$B$60:$B$63</c:f>
              <c:numCache>
                <c:formatCode>_("$"* #\ ##0_);_("$"* \(#\ ##0\);_("$"* "-"??_);_(@_)</c:formatCode>
                <c:ptCount val="4"/>
                <c:pt idx="0">
                  <c:v>79123.5</c:v>
                </c:pt>
                <c:pt idx="1">
                  <c:v>85563.199999999997</c:v>
                </c:pt>
                <c:pt idx="2">
                  <c:v>75437.7</c:v>
                </c:pt>
                <c:pt idx="3">
                  <c:v>161540.20000000001</c:v>
                </c:pt>
              </c:numCache>
            </c:numRef>
          </c:val>
          <c:extLst>
            <c:ext xmlns:c16="http://schemas.microsoft.com/office/drawing/2014/chart" uri="{C3380CC4-5D6E-409C-BE32-E72D297353CC}">
              <c16:uniqueId val="{00000008-5DD8-49BD-A3E3-753B3C970726}"/>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FF2E9F"/>
                  </a:gs>
                  <a:gs pos="100000">
                    <a:srgbClr val="FF00E0"/>
                  </a:gs>
                </a:gsLst>
                <a:lin ang="2700000" scaled="0"/>
              </a:gradFill>
              <a:ln w="88900">
                <a:gradFill>
                  <a:gsLst>
                    <a:gs pos="0">
                      <a:srgbClr val="FF2E9F"/>
                    </a:gs>
                    <a:gs pos="100000">
                      <a:srgbClr val="FF00E0"/>
                    </a:gs>
                  </a:gsLst>
                  <a:lin ang="2700000" scaled="0"/>
                </a:gradFill>
              </a:ln>
              <a:effectLst/>
            </c:spPr>
            <c:extLst>
              <c:ext xmlns:c16="http://schemas.microsoft.com/office/drawing/2014/chart" uri="{C3380CC4-5D6E-409C-BE32-E72D297353CC}">
                <c16:uniqueId val="{00000001-1C93-4130-803C-E279161CAF99}"/>
              </c:ext>
            </c:extLst>
          </c:dPt>
          <c:dPt>
            <c:idx val="1"/>
            <c:bubble3D val="0"/>
            <c:spPr>
              <a:solidFill>
                <a:srgbClr val="741E51"/>
              </a:solidFill>
              <a:ln w="88900">
                <a:solidFill>
                  <a:srgbClr val="741E51"/>
                </a:solidFill>
              </a:ln>
              <a:effectLst/>
            </c:spPr>
            <c:extLst>
              <c:ext xmlns:c16="http://schemas.microsoft.com/office/drawing/2014/chart" uri="{C3380CC4-5D6E-409C-BE32-E72D297353CC}">
                <c16:uniqueId val="{00000003-1C93-4130-803C-E279161CAF99}"/>
              </c:ext>
            </c:extLst>
          </c:dPt>
          <c:dPt>
            <c:idx val="2"/>
            <c:bubble3D val="0"/>
            <c:spPr>
              <a:noFill/>
              <a:ln w="19050">
                <a:noFill/>
              </a:ln>
              <a:effectLst/>
            </c:spPr>
            <c:extLst>
              <c:ext xmlns:c16="http://schemas.microsoft.com/office/drawing/2014/chart" uri="{C3380CC4-5D6E-409C-BE32-E72D297353CC}">
                <c16:uniqueId val="{00000005-1C93-4130-803C-E279161CAF99}"/>
              </c:ext>
            </c:extLst>
          </c:dPt>
          <c:dPt>
            <c:idx val="3"/>
            <c:bubble3D val="0"/>
            <c:spPr>
              <a:gradFill>
                <a:gsLst>
                  <a:gs pos="100000">
                    <a:srgbClr val="C44DFF"/>
                  </a:gs>
                  <a:gs pos="0">
                    <a:srgbClr val="7B2FFF"/>
                  </a:gs>
                </a:gsLst>
                <a:lin ang="2700000" scaled="0"/>
              </a:gradFill>
              <a:ln w="88900">
                <a:gradFill>
                  <a:gsLst>
                    <a:gs pos="0">
                      <a:srgbClr val="7B2FFF"/>
                    </a:gs>
                    <a:gs pos="100000">
                      <a:srgbClr val="C44DFF"/>
                    </a:gs>
                  </a:gsLst>
                  <a:lin ang="2700000" scaled="0"/>
                </a:gradFill>
              </a:ln>
              <a:effectLst/>
            </c:spPr>
            <c:extLst>
              <c:ext xmlns:c16="http://schemas.microsoft.com/office/drawing/2014/chart" uri="{C3380CC4-5D6E-409C-BE32-E72D297353CC}">
                <c16:uniqueId val="{00000007-1C93-4130-803C-E279161CAF99}"/>
              </c:ext>
            </c:extLst>
          </c:dPt>
          <c:dPt>
            <c:idx val="4"/>
            <c:bubble3D val="0"/>
            <c:spPr>
              <a:solidFill>
                <a:srgbClr val="251B4C"/>
              </a:solidFill>
              <a:ln w="88900">
                <a:solidFill>
                  <a:srgbClr val="251B4C"/>
                </a:solidFill>
              </a:ln>
              <a:effectLst/>
            </c:spPr>
            <c:extLst>
              <c:ext xmlns:c16="http://schemas.microsoft.com/office/drawing/2014/chart" uri="{C3380CC4-5D6E-409C-BE32-E72D297353CC}">
                <c16:uniqueId val="{00000009-1C93-4130-803C-E279161CAF99}"/>
              </c:ext>
            </c:extLst>
          </c:dPt>
          <c:dPt>
            <c:idx val="5"/>
            <c:bubble3D val="0"/>
            <c:spPr>
              <a:noFill/>
              <a:ln w="19050">
                <a:noFill/>
              </a:ln>
              <a:effectLst/>
            </c:spPr>
            <c:extLst>
              <c:ext xmlns:c16="http://schemas.microsoft.com/office/drawing/2014/chart" uri="{C3380CC4-5D6E-409C-BE32-E72D297353CC}">
                <c16:uniqueId val="{0000000B-1C93-4130-803C-E279161CAF99}"/>
              </c:ext>
            </c:extLst>
          </c:dPt>
          <c:dPt>
            <c:idx val="6"/>
            <c:bubble3D val="0"/>
            <c:spPr>
              <a:gradFill>
                <a:gsLst>
                  <a:gs pos="0">
                    <a:srgbClr val="00F5FF"/>
                  </a:gs>
                  <a:gs pos="100000">
                    <a:srgbClr val="00A8FF"/>
                  </a:gs>
                </a:gsLst>
                <a:lin ang="2700000" scaled="0"/>
              </a:gradFill>
              <a:ln w="88900">
                <a:gradFill>
                  <a:gsLst>
                    <a:gs pos="0">
                      <a:srgbClr val="00F5FF"/>
                    </a:gs>
                    <a:gs pos="100000">
                      <a:srgbClr val="00A8FF"/>
                    </a:gs>
                  </a:gsLst>
                  <a:lin ang="2700000" scaled="0"/>
                </a:gradFill>
              </a:ln>
              <a:effectLst/>
            </c:spPr>
            <c:extLst>
              <c:ext xmlns:c16="http://schemas.microsoft.com/office/drawing/2014/chart" uri="{C3380CC4-5D6E-409C-BE32-E72D297353CC}">
                <c16:uniqueId val="{0000000D-1C93-4130-803C-E279161CAF99}"/>
              </c:ext>
            </c:extLst>
          </c:dPt>
          <c:dPt>
            <c:idx val="7"/>
            <c:bubble3D val="0"/>
            <c:spPr>
              <a:solidFill>
                <a:srgbClr val="004C4C"/>
              </a:solidFill>
              <a:ln w="88900">
                <a:solidFill>
                  <a:srgbClr val="004C4C"/>
                </a:solidFill>
              </a:ln>
              <a:effectLst/>
            </c:spPr>
            <c:extLst>
              <c:ext xmlns:c16="http://schemas.microsoft.com/office/drawing/2014/chart" uri="{C3380CC4-5D6E-409C-BE32-E72D297353CC}">
                <c16:uniqueId val="{0000000F-1C93-4130-803C-E279161CAF99}"/>
              </c:ext>
            </c:extLst>
          </c:dPt>
          <c:dPt>
            <c:idx val="8"/>
            <c:bubble3D val="0"/>
            <c:spPr>
              <a:noFill/>
              <a:ln w="19050">
                <a:noFill/>
              </a:ln>
              <a:effectLst/>
            </c:spPr>
            <c:extLst>
              <c:ext xmlns:c16="http://schemas.microsoft.com/office/drawing/2014/chart" uri="{C3380CC4-5D6E-409C-BE32-E72D297353CC}">
                <c16:uniqueId val="{00000011-1C93-4130-803C-E279161CAF99}"/>
              </c:ext>
            </c:extLst>
          </c:dPt>
          <c:dPt>
            <c:idx val="9"/>
            <c:bubble3D val="0"/>
            <c:spPr>
              <a:gradFill>
                <a:gsLst>
                  <a:gs pos="0">
                    <a:srgbClr val="A8FF3E"/>
                  </a:gs>
                  <a:gs pos="100000">
                    <a:srgbClr val="00FF9D"/>
                  </a:gs>
                </a:gsLst>
                <a:lin ang="2700000" scaled="0"/>
              </a:gradFill>
              <a:ln w="88900">
                <a:gradFill>
                  <a:gsLst>
                    <a:gs pos="0">
                      <a:srgbClr val="A8FF3E"/>
                    </a:gs>
                    <a:gs pos="100000">
                      <a:srgbClr val="00FF9D"/>
                    </a:gs>
                  </a:gsLst>
                  <a:lin ang="2700000" scaled="0"/>
                </a:gradFill>
              </a:ln>
              <a:effectLst/>
            </c:spPr>
            <c:extLst>
              <c:ext xmlns:c16="http://schemas.microsoft.com/office/drawing/2014/chart" uri="{C3380CC4-5D6E-409C-BE32-E72D297353CC}">
                <c16:uniqueId val="{00000013-1C93-4130-803C-E279161CAF99}"/>
              </c:ext>
            </c:extLst>
          </c:dPt>
          <c:dPt>
            <c:idx val="10"/>
            <c:bubble3D val="0"/>
            <c:spPr>
              <a:solidFill>
                <a:srgbClr val="274B04"/>
              </a:solidFill>
              <a:ln w="88900">
                <a:solidFill>
                  <a:srgbClr val="274B04"/>
                </a:solidFill>
              </a:ln>
              <a:effectLst/>
            </c:spPr>
            <c:extLst>
              <c:ext xmlns:c16="http://schemas.microsoft.com/office/drawing/2014/chart" uri="{C3380CC4-5D6E-409C-BE32-E72D297353CC}">
                <c16:uniqueId val="{00000015-1C93-4130-803C-E279161CAF99}"/>
              </c:ext>
            </c:extLst>
          </c:dPt>
          <c:dPt>
            <c:idx val="11"/>
            <c:bubble3D val="0"/>
            <c:spPr>
              <a:noFill/>
              <a:ln w="19050">
                <a:noFill/>
              </a:ln>
              <a:effectLst/>
            </c:spPr>
            <c:extLst>
              <c:ext xmlns:c16="http://schemas.microsoft.com/office/drawing/2014/chart" uri="{C3380CC4-5D6E-409C-BE32-E72D297353CC}">
                <c16:uniqueId val="{00000017-1C93-4130-803C-E279161CAF99}"/>
              </c:ext>
            </c:extLst>
          </c:dPt>
          <c:val>
            <c:numRef>
              <c:f>Processing!$E$77:$E$88</c:f>
              <c:numCache>
                <c:formatCode>0%</c:formatCode>
                <c:ptCount val="12"/>
                <c:pt idx="0">
                  <c:v>0.18245745330805849</c:v>
                </c:pt>
                <c:pt idx="1">
                  <c:v>#N/A</c:v>
                </c:pt>
                <c:pt idx="2">
                  <c:v>3.5000000000000003E-2</c:v>
                </c:pt>
                <c:pt idx="3">
                  <c:v>0.24152041280212397</c:v>
                </c:pt>
                <c:pt idx="4">
                  <c:v>#N/A</c:v>
                </c:pt>
                <c:pt idx="5">
                  <c:v>3.5000000000000003E-2</c:v>
                </c:pt>
                <c:pt idx="6">
                  <c:v>0.25129735107350759</c:v>
                </c:pt>
                <c:pt idx="7">
                  <c:v>#N/A</c:v>
                </c:pt>
                <c:pt idx="8">
                  <c:v>3.5000000000000003E-2</c:v>
                </c:pt>
                <c:pt idx="9">
                  <c:v>0.3247247828163099</c:v>
                </c:pt>
                <c:pt idx="10">
                  <c:v>#N/A</c:v>
                </c:pt>
                <c:pt idx="11">
                  <c:v>3.5000000000000003E-2</c:v>
                </c:pt>
              </c:numCache>
            </c:numRef>
          </c:val>
          <c:extLst>
            <c:ext xmlns:c16="http://schemas.microsoft.com/office/drawing/2014/chart" uri="{C3380CC4-5D6E-409C-BE32-E72D297353CC}">
              <c16:uniqueId val="{00000018-1C93-4130-803C-E279161CAF99}"/>
            </c:ext>
          </c:extLst>
        </c:ser>
        <c:dLbls>
          <c:showLegendKey val="0"/>
          <c:showVal val="0"/>
          <c:showCatName val="0"/>
          <c:showSerName val="0"/>
          <c:showPercent val="0"/>
          <c:showBubbleSize val="0"/>
          <c:showLeaderLines val="1"/>
        </c:dLbls>
        <c:firstSliceAng val="0"/>
        <c:holeSize val="6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883975750169531E-2"/>
          <c:y val="0.1513891479434496"/>
          <c:w val="0.87614432959885602"/>
          <c:h val="0.65855751876061452"/>
        </c:manualLayout>
      </c:layout>
      <c:areaChart>
        <c:grouping val="standard"/>
        <c:varyColors val="0"/>
        <c:ser>
          <c:idx val="2"/>
          <c:order val="2"/>
          <c:tx>
            <c:strRef>
              <c:f>Processing!$B$100</c:f>
              <c:strCache>
                <c:ptCount val="1"/>
                <c:pt idx="0">
                  <c:v>Revenue</c:v>
                </c:pt>
              </c:strCache>
            </c:strRef>
          </c:tx>
          <c:spPr>
            <a:gradFill flip="none" rotWithShape="1">
              <a:gsLst>
                <a:gs pos="5000">
                  <a:srgbClr val="7C5CFF">
                    <a:alpha val="50000"/>
                  </a:srgbClr>
                </a:gs>
                <a:gs pos="100000">
                  <a:srgbClr val="7C5CFF">
                    <a:alpha val="0"/>
                  </a:srgbClr>
                </a:gs>
              </a:gsLst>
              <a:lin ang="5400000" scaled="0"/>
              <a:tileRect/>
            </a:gradFill>
            <a:ln>
              <a:noFill/>
            </a:ln>
            <a:effectLst/>
          </c:spPr>
          <c:cat>
            <c:strRef>
              <c:f>Processing!$A$101:$A$112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Processing!$B$101:$B$112</c:f>
              <c:numCache>
                <c:formatCode>_("$"* #\ ##0_);_("$"* \(#\ ##0\);_("$"* "-"??_);_(@_)</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val>
          <c:extLst>
            <c:ext xmlns:c16="http://schemas.microsoft.com/office/drawing/2014/chart" uri="{C3380CC4-5D6E-409C-BE32-E72D297353CC}">
              <c16:uniqueId val="{00000000-72D3-48B8-A703-ECC85E17F4B9}"/>
            </c:ext>
          </c:extLst>
        </c:ser>
        <c:ser>
          <c:idx val="3"/>
          <c:order val="3"/>
          <c:tx>
            <c:strRef>
              <c:f>Processing!$C$100</c:f>
              <c:strCache>
                <c:ptCount val="1"/>
                <c:pt idx="0">
                  <c:v>Expenses</c:v>
                </c:pt>
              </c:strCache>
            </c:strRef>
          </c:tx>
          <c:spPr>
            <a:gradFill>
              <a:gsLst>
                <a:gs pos="5000">
                  <a:srgbClr val="FF2A85">
                    <a:alpha val="30000"/>
                  </a:srgbClr>
                </a:gs>
                <a:gs pos="100000">
                  <a:srgbClr val="FF2A85">
                    <a:alpha val="0"/>
                  </a:srgbClr>
                </a:gs>
              </a:gsLst>
              <a:lin ang="5400000" scaled="0"/>
            </a:gradFill>
            <a:ln>
              <a:noFill/>
            </a:ln>
            <a:effectLst/>
          </c:spPr>
          <c:cat>
            <c:strRef>
              <c:f>Processing!$A$101:$A$112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Processing!$C$101:$C$112</c:f>
              <c:numCache>
                <c:formatCode>_("$"* #\ ##0_);_("$"* \(#\ ##0\);_("$"* "-"??_);_(@_)</c:formatCode>
                <c:ptCount val="12"/>
                <c:pt idx="0">
                  <c:v>21232.489999999998</c:v>
                </c:pt>
                <c:pt idx="1">
                  <c:v>27219.700000000008</c:v>
                </c:pt>
                <c:pt idx="2">
                  <c:v>15475.44</c:v>
                </c:pt>
                <c:pt idx="3">
                  <c:v>17947.329999999998</c:v>
                </c:pt>
                <c:pt idx="4">
                  <c:v>19789.03</c:v>
                </c:pt>
                <c:pt idx="5">
                  <c:v>13803.990000000002</c:v>
                </c:pt>
                <c:pt idx="6">
                  <c:v>27909.069999999996</c:v>
                </c:pt>
                <c:pt idx="7">
                  <c:v>24265.979999999996</c:v>
                </c:pt>
                <c:pt idx="8">
                  <c:v>14316.279999999999</c:v>
                </c:pt>
                <c:pt idx="9">
                  <c:v>15784.970000000001</c:v>
                </c:pt>
                <c:pt idx="10">
                  <c:v>28440.330000000005</c:v>
                </c:pt>
                <c:pt idx="11">
                  <c:v>31312.199999999997</c:v>
                </c:pt>
              </c:numCache>
            </c:numRef>
          </c:val>
          <c:extLst>
            <c:ext xmlns:c16="http://schemas.microsoft.com/office/drawing/2014/chart" uri="{C3380CC4-5D6E-409C-BE32-E72D297353CC}">
              <c16:uniqueId val="{00000001-72D3-48B8-A703-ECC85E17F4B9}"/>
            </c:ext>
          </c:extLst>
        </c:ser>
        <c:dLbls>
          <c:showLegendKey val="0"/>
          <c:showVal val="0"/>
          <c:showCatName val="0"/>
          <c:showSerName val="0"/>
          <c:showPercent val="0"/>
          <c:showBubbleSize val="0"/>
        </c:dLbls>
        <c:axId val="274098320"/>
        <c:axId val="226536448"/>
      </c:areaChart>
      <c:lineChart>
        <c:grouping val="standard"/>
        <c:varyColors val="0"/>
        <c:ser>
          <c:idx val="0"/>
          <c:order val="0"/>
          <c:tx>
            <c:v>R_Fill</c:v>
          </c:tx>
          <c:spPr>
            <a:ln w="19050" cap="rnd">
              <a:solidFill>
                <a:srgbClr val="7C5CFF"/>
              </a:solidFill>
              <a:round/>
            </a:ln>
            <a:effectLst>
              <a:outerShdw blurRad="50800" dist="38100" dir="5400000" algn="t" rotWithShape="0">
                <a:prstClr val="black">
                  <a:alpha val="40000"/>
                </a:prstClr>
              </a:outerShdw>
            </a:effectLst>
          </c:spPr>
          <c:marker>
            <c:symbol val="circle"/>
            <c:size val="4"/>
            <c:spPr>
              <a:solidFill>
                <a:srgbClr val="7C5CFF"/>
              </a:solidFill>
              <a:ln w="9525">
                <a:noFill/>
              </a:ln>
              <a:effectLst>
                <a:outerShdw blurRad="50800" dist="38100" dir="5400000" algn="t" rotWithShape="0">
                  <a:prstClr val="black">
                    <a:alpha val="40000"/>
                  </a:prstClr>
                </a:outerShdw>
              </a:effectLst>
            </c:spPr>
          </c:marker>
          <c:val>
            <c:numRef>
              <c:f>Processing!$B$101:$B$112</c:f>
              <c:numCache>
                <c:formatCode>_("$"* #\ ##0_);_("$"* \(#\ ##0\);_("$"* "-"??_);_(@_)</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val>
          <c:smooth val="0"/>
          <c:extLst>
            <c:ext xmlns:c16="http://schemas.microsoft.com/office/drawing/2014/chart" uri="{C3380CC4-5D6E-409C-BE32-E72D297353CC}">
              <c16:uniqueId val="{00000002-72D3-48B8-A703-ECC85E17F4B9}"/>
            </c:ext>
          </c:extLst>
        </c:ser>
        <c:ser>
          <c:idx val="1"/>
          <c:order val="1"/>
          <c:tx>
            <c:v>E_Fill</c:v>
          </c:tx>
          <c:spPr>
            <a:ln w="19050" cap="rnd">
              <a:solidFill>
                <a:srgbClr val="FF2A85"/>
              </a:solidFill>
              <a:round/>
            </a:ln>
            <a:effectLst>
              <a:outerShdw blurRad="50800" dist="38100" dir="5400000" algn="t" rotWithShape="0">
                <a:prstClr val="black">
                  <a:alpha val="40000"/>
                </a:prstClr>
              </a:outerShdw>
            </a:effectLst>
          </c:spPr>
          <c:marker>
            <c:symbol val="circle"/>
            <c:size val="4"/>
            <c:spPr>
              <a:solidFill>
                <a:srgbClr val="FF2A85"/>
              </a:solidFill>
              <a:ln w="9525">
                <a:noFill/>
              </a:ln>
              <a:effectLst>
                <a:outerShdw blurRad="50800" dist="38100" dir="5400000" algn="t" rotWithShape="0">
                  <a:prstClr val="black">
                    <a:alpha val="40000"/>
                  </a:prstClr>
                </a:outerShdw>
              </a:effectLst>
            </c:spPr>
          </c:marker>
          <c:val>
            <c:numRef>
              <c:f>Processing!$C$101:$C$112</c:f>
              <c:numCache>
                <c:formatCode>_("$"* #\ ##0_);_("$"* \(#\ ##0\);_("$"* "-"??_);_(@_)</c:formatCode>
                <c:ptCount val="12"/>
                <c:pt idx="0">
                  <c:v>21232.489999999998</c:v>
                </c:pt>
                <c:pt idx="1">
                  <c:v>27219.700000000008</c:v>
                </c:pt>
                <c:pt idx="2">
                  <c:v>15475.44</c:v>
                </c:pt>
                <c:pt idx="3">
                  <c:v>17947.329999999998</c:v>
                </c:pt>
                <c:pt idx="4">
                  <c:v>19789.03</c:v>
                </c:pt>
                <c:pt idx="5">
                  <c:v>13803.990000000002</c:v>
                </c:pt>
                <c:pt idx="6">
                  <c:v>27909.069999999996</c:v>
                </c:pt>
                <c:pt idx="7">
                  <c:v>24265.979999999996</c:v>
                </c:pt>
                <c:pt idx="8">
                  <c:v>14316.279999999999</c:v>
                </c:pt>
                <c:pt idx="9">
                  <c:v>15784.970000000001</c:v>
                </c:pt>
                <c:pt idx="10">
                  <c:v>28440.330000000005</c:v>
                </c:pt>
                <c:pt idx="11">
                  <c:v>31312.199999999997</c:v>
                </c:pt>
              </c:numCache>
            </c:numRef>
          </c:val>
          <c:smooth val="0"/>
          <c:extLst>
            <c:ext xmlns:c16="http://schemas.microsoft.com/office/drawing/2014/chart" uri="{C3380CC4-5D6E-409C-BE32-E72D297353CC}">
              <c16:uniqueId val="{00000003-72D3-48B8-A703-ECC85E17F4B9}"/>
            </c:ext>
          </c:extLst>
        </c:ser>
        <c:dLbls>
          <c:showLegendKey val="0"/>
          <c:showVal val="0"/>
          <c:showCatName val="0"/>
          <c:showSerName val="0"/>
          <c:showPercent val="0"/>
          <c:showBubbleSize val="0"/>
        </c:dLbls>
        <c:marker val="1"/>
        <c:smooth val="0"/>
        <c:axId val="274098320"/>
        <c:axId val="226536448"/>
      </c:lineChart>
      <c:scatterChart>
        <c:scatterStyle val="lineMarker"/>
        <c:varyColors val="0"/>
        <c:ser>
          <c:idx val="4"/>
          <c:order val="4"/>
          <c:tx>
            <c:strRef>
              <c:f>Processing!$D$100</c:f>
              <c:strCache>
                <c:ptCount val="1"/>
                <c:pt idx="0">
                  <c:v>Cursor R</c:v>
                </c:pt>
              </c:strCache>
            </c:strRef>
          </c:tx>
          <c:spPr>
            <a:ln w="25400" cap="rnd">
              <a:noFill/>
              <a:round/>
            </a:ln>
            <a:effectLst>
              <a:outerShdw blurRad="50800" dist="38100" dir="5400000" algn="t" rotWithShape="0">
                <a:prstClr val="black">
                  <a:alpha val="40000"/>
                </a:prstClr>
              </a:outerShdw>
            </a:effectLst>
          </c:spPr>
          <c:marker>
            <c:symbol val="circle"/>
            <c:size val="5"/>
            <c:spPr>
              <a:solidFill>
                <a:schemeClr val="bg1"/>
              </a:solidFill>
              <a:ln w="9525">
                <a:solidFill>
                  <a:srgbClr val="7C5CFF"/>
                </a:solidFill>
              </a:ln>
              <a:effectLst>
                <a:outerShdw blurRad="50800" dist="38100" dir="5400000" algn="t" rotWithShape="0">
                  <a:prstClr val="black">
                    <a:alpha val="40000"/>
                  </a:prstClr>
                </a:outerShd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7C5CFF"/>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Processing!$B$101:$B$112</c:f>
                <c:numCache>
                  <c:formatCode>General</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minus>
            <c:spPr>
              <a:noFill/>
              <a:ln w="9525" cap="flat" cmpd="sng" algn="ctr">
                <a:solidFill>
                  <a:schemeClr val="tx2">
                    <a:lumMod val="10000"/>
                    <a:lumOff val="90000"/>
                  </a:schemeClr>
                </a:solidFill>
                <a:prstDash val="sysDash"/>
                <a:round/>
              </a:ln>
              <a:effectLst/>
            </c:spPr>
          </c:errBars>
          <c:xVal>
            <c:strRef>
              <c:f>Processing!$A$101:$A$112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Processing!$D$101:$D$112</c:f>
              <c:numCache>
                <c:formatCode>_("$"* #\ ##0_);_("$"* \(#\ ##0\);_("$"* "-"??_);_(@_)</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yVal>
          <c:smooth val="0"/>
          <c:extLst>
            <c:ext xmlns:c16="http://schemas.microsoft.com/office/drawing/2014/chart" uri="{C3380CC4-5D6E-409C-BE32-E72D297353CC}">
              <c16:uniqueId val="{00000004-72D3-48B8-A703-ECC85E17F4B9}"/>
            </c:ext>
          </c:extLst>
        </c:ser>
        <c:ser>
          <c:idx val="5"/>
          <c:order val="5"/>
          <c:tx>
            <c:strRef>
              <c:f>Processing!$E$100</c:f>
              <c:strCache>
                <c:ptCount val="1"/>
                <c:pt idx="0">
                  <c:v>Cursor E</c:v>
                </c:pt>
              </c:strCache>
            </c:strRef>
          </c:tx>
          <c:spPr>
            <a:ln w="25400" cap="rnd">
              <a:noFill/>
              <a:round/>
            </a:ln>
            <a:effectLst>
              <a:outerShdw blurRad="50800" dist="38100" dir="5400000" algn="t" rotWithShape="0">
                <a:prstClr val="black">
                  <a:alpha val="40000"/>
                </a:prstClr>
              </a:outerShdw>
            </a:effectLst>
          </c:spPr>
          <c:marker>
            <c:symbol val="circle"/>
            <c:size val="5"/>
            <c:spPr>
              <a:solidFill>
                <a:schemeClr val="bg1"/>
              </a:solidFill>
              <a:ln w="9525">
                <a:solidFill>
                  <a:srgbClr val="FF2A85"/>
                </a:solidFill>
              </a:ln>
              <a:effectLst>
                <a:outerShdw blurRad="50800" dist="38100" dir="5400000" algn="t" rotWithShape="0">
                  <a:prstClr val="black">
                    <a:alpha val="40000"/>
                  </a:prstClr>
                </a:outerShdw>
              </a:effectLst>
            </c:spPr>
          </c:marker>
          <c:dLbls>
            <c:numFmt formatCode="0.0,&quot;k&quot;" sourceLinked="0"/>
            <c:spPr>
              <a:solidFill>
                <a:srgbClr val="FF2A85">
                  <a:alpha val="53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c15:spPr>
                <c15:showLeaderLines val="1"/>
                <c15:leaderLines>
                  <c:spPr>
                    <a:ln w="9525" cap="flat" cmpd="sng" algn="ctr">
                      <a:solidFill>
                        <a:schemeClr val="tx1">
                          <a:lumMod val="35000"/>
                          <a:lumOff val="65000"/>
                        </a:schemeClr>
                      </a:solidFill>
                      <a:round/>
                    </a:ln>
                    <a:effectLst/>
                  </c:spPr>
                </c15:leaderLines>
              </c:ext>
            </c:extLst>
          </c:dLbls>
          <c:xVal>
            <c:strRef>
              <c:f>Processing!$A$101:$A$112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Processing!$E$101:$E$112</c:f>
              <c:numCache>
                <c:formatCode>_("$"* #\ ##0_);_("$"* \(#\ ##0\);_("$"* "-"??_);_(@_)</c:formatCode>
                <c:ptCount val="12"/>
                <c:pt idx="0">
                  <c:v>21232.489999999998</c:v>
                </c:pt>
                <c:pt idx="1">
                  <c:v>27219.700000000008</c:v>
                </c:pt>
                <c:pt idx="2">
                  <c:v>15475.44</c:v>
                </c:pt>
                <c:pt idx="3">
                  <c:v>17947.329999999998</c:v>
                </c:pt>
                <c:pt idx="4">
                  <c:v>19789.03</c:v>
                </c:pt>
                <c:pt idx="5">
                  <c:v>13803.990000000002</c:v>
                </c:pt>
                <c:pt idx="6">
                  <c:v>27909.069999999996</c:v>
                </c:pt>
                <c:pt idx="7">
                  <c:v>24265.979999999996</c:v>
                </c:pt>
                <c:pt idx="8">
                  <c:v>14316.279999999999</c:v>
                </c:pt>
                <c:pt idx="9">
                  <c:v>15784.970000000001</c:v>
                </c:pt>
                <c:pt idx="10">
                  <c:v>28440.330000000005</c:v>
                </c:pt>
                <c:pt idx="11">
                  <c:v>31312.199999999997</c:v>
                </c:pt>
              </c:numCache>
            </c:numRef>
          </c:yVal>
          <c:smooth val="0"/>
          <c:extLst>
            <c:ext xmlns:c16="http://schemas.microsoft.com/office/drawing/2014/chart" uri="{C3380CC4-5D6E-409C-BE32-E72D297353CC}">
              <c16:uniqueId val="{00000005-72D3-48B8-A703-ECC85E17F4B9}"/>
            </c:ext>
          </c:extLst>
        </c:ser>
        <c:dLbls>
          <c:showLegendKey val="0"/>
          <c:showVal val="0"/>
          <c:showCatName val="0"/>
          <c:showSerName val="0"/>
          <c:showPercent val="0"/>
          <c:showBubbleSize val="0"/>
        </c:dLbls>
        <c:axId val="274098320"/>
        <c:axId val="226536448"/>
      </c:scatterChart>
      <c:catAx>
        <c:axId val="2740983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545C8A"/>
                </a:solidFill>
                <a:latin typeface="+mn-lt"/>
                <a:ea typeface="+mn-ea"/>
                <a:cs typeface="+mn-cs"/>
              </a:defRPr>
            </a:pPr>
            <a:endParaRPr lang="en-US"/>
          </a:p>
        </c:txPr>
        <c:crossAx val="226536448"/>
        <c:crosses val="autoZero"/>
        <c:auto val="1"/>
        <c:lblAlgn val="ctr"/>
        <c:lblOffset val="100"/>
        <c:noMultiLvlLbl val="0"/>
      </c:catAx>
      <c:valAx>
        <c:axId val="226536448"/>
        <c:scaling>
          <c:orientation val="minMax"/>
          <c:min val="0"/>
        </c:scaling>
        <c:delete val="0"/>
        <c:axPos val="l"/>
        <c:majorGridlines>
          <c:spPr>
            <a:ln w="9525" cap="flat" cmpd="sng" algn="ctr">
              <a:solidFill>
                <a:srgbClr val="545C8A">
                  <a:alpha val="30000"/>
                </a:srgb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45C8A"/>
                </a:solidFill>
                <a:latin typeface="+mn-lt"/>
                <a:ea typeface="+mn-ea"/>
                <a:cs typeface="+mn-cs"/>
              </a:defRPr>
            </a:pPr>
            <a:endParaRPr lang="en-US"/>
          </a:p>
        </c:txPr>
        <c:crossAx val="274098320"/>
        <c:crosses val="autoZero"/>
        <c:crossBetween val="midCat"/>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794992175273865E-2"/>
          <c:y val="7.0278558650651676E-2"/>
          <c:w val="0.89241001564945222"/>
          <c:h val="0.9169435215946844"/>
        </c:manualLayout>
      </c:layout>
      <c:barChart>
        <c:barDir val="bar"/>
        <c:grouping val="clustered"/>
        <c:varyColors val="0"/>
        <c:ser>
          <c:idx val="0"/>
          <c:order val="0"/>
          <c:spPr>
            <a:solidFill>
              <a:schemeClr val="accent1"/>
            </a:solidFill>
            <a:ln w="104775">
              <a:gradFill>
                <a:gsLst>
                  <a:gs pos="0">
                    <a:srgbClr val="66FFFF"/>
                  </a:gs>
                  <a:gs pos="85000">
                    <a:srgbClr val="B72CEE"/>
                  </a:gs>
                </a:gsLst>
                <a:lin ang="5400000" scaled="0"/>
              </a:gradFill>
            </a:ln>
            <a:effectLst/>
          </c:spPr>
          <c:invertIfNegative val="0"/>
          <c:cat>
            <c:strRef>
              <c:f>Processing!$D$118:$D$122</c:f>
              <c:strCache>
                <c:ptCount val="5"/>
                <c:pt idx="0">
                  <c:v>Technology</c:v>
                </c:pt>
                <c:pt idx="1">
                  <c:v>Accessories</c:v>
                </c:pt>
                <c:pt idx="2">
                  <c:v>Office Supplies</c:v>
                </c:pt>
                <c:pt idx="3">
                  <c:v>Furniture</c:v>
                </c:pt>
                <c:pt idx="4">
                  <c:v>Appliances</c:v>
                </c:pt>
              </c:strCache>
            </c:strRef>
          </c:cat>
          <c:val>
            <c:numRef>
              <c:f>Processing!$E$118:$E$122</c:f>
              <c:numCache>
                <c:formatCode>_("$"* #\ ##0_);_("$"* \(#\ ##0\);_("$"* "-"??_);_(@_)</c:formatCode>
                <c:ptCount val="5"/>
                <c:pt idx="0">
                  <c:v>104424.49999999997</c:v>
                </c:pt>
                <c:pt idx="1">
                  <c:v>89198.9</c:v>
                </c:pt>
                <c:pt idx="2">
                  <c:v>88250.5</c:v>
                </c:pt>
                <c:pt idx="3">
                  <c:v>64075.950000000004</c:v>
                </c:pt>
                <c:pt idx="4">
                  <c:v>55714.75</c:v>
                </c:pt>
              </c:numCache>
            </c:numRef>
          </c:val>
          <c:extLst>
            <c:ext xmlns:c16="http://schemas.microsoft.com/office/drawing/2014/chart" uri="{C3380CC4-5D6E-409C-BE32-E72D297353CC}">
              <c16:uniqueId val="{00000000-6F3A-420D-A247-1B30882718BB}"/>
            </c:ext>
          </c:extLst>
        </c:ser>
        <c:dLbls>
          <c:showLegendKey val="0"/>
          <c:showVal val="0"/>
          <c:showCatName val="0"/>
          <c:showSerName val="0"/>
          <c:showPercent val="0"/>
          <c:showBubbleSize val="0"/>
        </c:dLbls>
        <c:gapWidth val="500"/>
        <c:axId val="1608354784"/>
        <c:axId val="1608356704"/>
      </c:barChart>
      <c:catAx>
        <c:axId val="1608354784"/>
        <c:scaling>
          <c:orientation val="maxMin"/>
        </c:scaling>
        <c:delete val="1"/>
        <c:axPos val="l"/>
        <c:numFmt formatCode="General" sourceLinked="1"/>
        <c:majorTickMark val="none"/>
        <c:minorTickMark val="none"/>
        <c:tickLblPos val="nextTo"/>
        <c:crossAx val="1608356704"/>
        <c:crosses val="autoZero"/>
        <c:auto val="1"/>
        <c:lblAlgn val="ctr"/>
        <c:lblOffset val="100"/>
        <c:noMultiLvlLbl val="0"/>
      </c:catAx>
      <c:valAx>
        <c:axId val="1608356704"/>
        <c:scaling>
          <c:orientation val="minMax"/>
        </c:scaling>
        <c:delete val="1"/>
        <c:axPos val="t"/>
        <c:numFmt formatCode="_(&quot;$&quot;* #\ ##0_);_(&quot;$&quot;* \(#\ ##0\);_(&quot;$&quot;* &quot;-&quot;??_);_(@_)" sourceLinked="1"/>
        <c:majorTickMark val="none"/>
        <c:minorTickMark val="none"/>
        <c:tickLblPos val="nextTo"/>
        <c:crossAx val="1608354784"/>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1"/>
          <c:tx>
            <c:strRef>
              <c:f>Processing!$C$126</c:f>
              <c:strCache>
                <c:ptCount val="1"/>
                <c:pt idx="0">
                  <c:v>indent</c:v>
                </c:pt>
              </c:strCache>
            </c:strRef>
          </c:tx>
          <c:spPr>
            <a:gradFill>
              <a:gsLst>
                <a:gs pos="0">
                  <a:srgbClr val="AADCD7">
                    <a:alpha val="20000"/>
                  </a:srgbClr>
                </a:gs>
                <a:gs pos="88000">
                  <a:srgbClr val="AADCD7">
                    <a:alpha val="70000"/>
                  </a:srgbClr>
                </a:gs>
              </a:gsLst>
              <a:lin ang="5400000" scaled="0"/>
            </a:gradFill>
            <a:ln>
              <a:noFill/>
            </a:ln>
            <a:effectLst/>
          </c:spPr>
          <c:invertIfNegative val="0"/>
          <c:cat>
            <c:strRef>
              <c:f>Processing!$A$127:$A$138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Processing!$C$127:$C$138</c:f>
              <c:numCache>
                <c:formatCode>General</c:formatCode>
                <c:ptCount val="12"/>
                <c:pt idx="0">
                  <c:v>172</c:v>
                </c:pt>
                <c:pt idx="1">
                  <c:v>199</c:v>
                </c:pt>
                <c:pt idx="2">
                  <c:v>158</c:v>
                </c:pt>
                <c:pt idx="3">
                  <c:v>155</c:v>
                </c:pt>
                <c:pt idx="4">
                  <c:v>168</c:v>
                </c:pt>
                <c:pt idx="5">
                  <c:v>125</c:v>
                </c:pt>
                <c:pt idx="6">
                  <c:v>195</c:v>
                </c:pt>
                <c:pt idx="7">
                  <c:v>202</c:v>
                </c:pt>
                <c:pt idx="8">
                  <c:v>118</c:v>
                </c:pt>
                <c:pt idx="9">
                  <c:v>200</c:v>
                </c:pt>
                <c:pt idx="10">
                  <c:v>189</c:v>
                </c:pt>
                <c:pt idx="11">
                  <c:v>222</c:v>
                </c:pt>
              </c:numCache>
            </c:numRef>
          </c:val>
          <c:extLst>
            <c:ext xmlns:c16="http://schemas.microsoft.com/office/drawing/2014/chart" uri="{C3380CC4-5D6E-409C-BE32-E72D297353CC}">
              <c16:uniqueId val="{00000000-A1A9-4AE0-9EBF-88C20FE8D717}"/>
            </c:ext>
          </c:extLst>
        </c:ser>
        <c:dLbls>
          <c:showLegendKey val="0"/>
          <c:showVal val="0"/>
          <c:showCatName val="0"/>
          <c:showSerName val="0"/>
          <c:showPercent val="0"/>
          <c:showBubbleSize val="0"/>
        </c:dLbls>
        <c:gapWidth val="0"/>
        <c:overlap val="100"/>
        <c:axId val="1002875183"/>
        <c:axId val="1002884783"/>
      </c:barChart>
      <c:lineChart>
        <c:grouping val="standard"/>
        <c:varyColors val="0"/>
        <c:ser>
          <c:idx val="0"/>
          <c:order val="0"/>
          <c:tx>
            <c:strRef>
              <c:f>Processing!$B$126</c:f>
              <c:strCache>
                <c:ptCount val="1"/>
                <c:pt idx="0">
                  <c:v>QTY</c:v>
                </c:pt>
              </c:strCache>
            </c:strRef>
          </c:tx>
          <c:spPr>
            <a:ln w="38100" cap="rnd">
              <a:gradFill>
                <a:gsLst>
                  <a:gs pos="0">
                    <a:srgbClr val="8158DA"/>
                  </a:gs>
                  <a:gs pos="88000">
                    <a:srgbClr val="02C7B3"/>
                  </a:gs>
                </a:gsLst>
                <a:lin ang="5400000" scaled="1"/>
              </a:gradFill>
              <a:round/>
            </a:ln>
            <a:effectLst>
              <a:outerShdw blurRad="50800" dist="38100" dir="8100000" algn="tr" rotWithShape="0">
                <a:prstClr val="black">
                  <a:alpha val="40000"/>
                </a:prstClr>
              </a:outerShdw>
            </a:effectLst>
          </c:spPr>
          <c:marker>
            <c:symbol val="none"/>
          </c:marker>
          <c:cat>
            <c:strRef>
              <c:f>Processing!$A$127:$A$138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Processing!$B$127:$B$138</c:f>
              <c:numCache>
                <c:formatCode>General</c:formatCode>
                <c:ptCount val="12"/>
                <c:pt idx="0">
                  <c:v>172</c:v>
                </c:pt>
                <c:pt idx="1">
                  <c:v>199</c:v>
                </c:pt>
                <c:pt idx="2">
                  <c:v>158</c:v>
                </c:pt>
                <c:pt idx="3">
                  <c:v>155</c:v>
                </c:pt>
                <c:pt idx="4">
                  <c:v>168</c:v>
                </c:pt>
                <c:pt idx="5">
                  <c:v>125</c:v>
                </c:pt>
                <c:pt idx="6">
                  <c:v>195</c:v>
                </c:pt>
                <c:pt idx="7">
                  <c:v>202</c:v>
                </c:pt>
                <c:pt idx="8">
                  <c:v>118</c:v>
                </c:pt>
                <c:pt idx="9">
                  <c:v>200</c:v>
                </c:pt>
                <c:pt idx="10">
                  <c:v>189</c:v>
                </c:pt>
                <c:pt idx="11">
                  <c:v>222</c:v>
                </c:pt>
              </c:numCache>
            </c:numRef>
          </c:val>
          <c:smooth val="1"/>
          <c:extLst>
            <c:ext xmlns:c16="http://schemas.microsoft.com/office/drawing/2014/chart" uri="{C3380CC4-5D6E-409C-BE32-E72D297353CC}">
              <c16:uniqueId val="{00000001-A1A9-4AE0-9EBF-88C20FE8D717}"/>
            </c:ext>
          </c:extLst>
        </c:ser>
        <c:dLbls>
          <c:showLegendKey val="0"/>
          <c:showVal val="0"/>
          <c:showCatName val="0"/>
          <c:showSerName val="0"/>
          <c:showPercent val="0"/>
          <c:showBubbleSize val="0"/>
        </c:dLbls>
        <c:marker val="1"/>
        <c:smooth val="0"/>
        <c:axId val="1002875183"/>
        <c:axId val="1002884783"/>
      </c:lineChart>
      <c:scatterChart>
        <c:scatterStyle val="lineMarker"/>
        <c:varyColors val="0"/>
        <c:ser>
          <c:idx val="2"/>
          <c:order val="2"/>
          <c:tx>
            <c:strRef>
              <c:f>Processing!$D$126</c:f>
              <c:strCache>
                <c:ptCount val="1"/>
                <c:pt idx="0">
                  <c:v>Marker</c:v>
                </c:pt>
              </c:strCache>
            </c:strRef>
          </c:tx>
          <c:spPr>
            <a:ln w="25400" cap="rnd">
              <a:noFill/>
              <a:round/>
            </a:ln>
            <a:effectLst/>
          </c:spPr>
          <c:marker>
            <c:symbol val="circle"/>
            <c:size val="7"/>
            <c:spPr>
              <a:solidFill>
                <a:srgbClr val="02C7B3"/>
              </a:solidFill>
              <a:ln w="9525">
                <a:solidFill>
                  <a:schemeClr val="bg1"/>
                </a:solidFill>
              </a:ln>
              <a:effectLst/>
            </c:spPr>
          </c:marker>
          <c:dLbls>
            <c:spPr>
              <a:solidFill>
                <a:srgbClr val="AADCD7">
                  <a:alpha val="50000"/>
                </a:srgbClr>
              </a:solidFill>
              <a:ln>
                <a:noFill/>
              </a:ln>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Processing!$D$127:$D$138</c:f>
                <c:numCache>
                  <c:formatCode>General</c:formatCode>
                  <c:ptCount val="12"/>
                  <c:pt idx="0">
                    <c:v>172</c:v>
                  </c:pt>
                  <c:pt idx="1">
                    <c:v>199</c:v>
                  </c:pt>
                  <c:pt idx="2">
                    <c:v>158</c:v>
                  </c:pt>
                  <c:pt idx="3">
                    <c:v>155</c:v>
                  </c:pt>
                  <c:pt idx="4">
                    <c:v>168</c:v>
                  </c:pt>
                  <c:pt idx="5">
                    <c:v>125</c:v>
                  </c:pt>
                  <c:pt idx="6">
                    <c:v>195</c:v>
                  </c:pt>
                  <c:pt idx="7">
                    <c:v>202</c:v>
                  </c:pt>
                  <c:pt idx="8">
                    <c:v>118</c:v>
                  </c:pt>
                  <c:pt idx="9">
                    <c:v>200</c:v>
                  </c:pt>
                  <c:pt idx="10">
                    <c:v>189</c:v>
                  </c:pt>
                  <c:pt idx="11">
                    <c:v>222</c:v>
                  </c:pt>
                </c:numCache>
              </c:numRef>
            </c:minus>
            <c:spPr>
              <a:noFill/>
              <a:ln w="9525" cap="flat" cmpd="sng" algn="ctr">
                <a:solidFill>
                  <a:srgbClr val="AADCD7"/>
                </a:solidFill>
                <a:round/>
              </a:ln>
              <a:effectLst>
                <a:outerShdw blurRad="50800" dist="38100" dir="5400000" algn="t" rotWithShape="0">
                  <a:prstClr val="black">
                    <a:alpha val="40000"/>
                  </a:prstClr>
                </a:outerShdw>
              </a:effectLst>
            </c:spPr>
          </c:errBars>
          <c:xVal>
            <c:strRef>
              <c:f>Processing!$A$127:$A$138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Processing!$D$127:$D$138</c:f>
              <c:numCache>
                <c:formatCode>General</c:formatCode>
                <c:ptCount val="12"/>
                <c:pt idx="0">
                  <c:v>172</c:v>
                </c:pt>
                <c:pt idx="1">
                  <c:v>199</c:v>
                </c:pt>
                <c:pt idx="2">
                  <c:v>158</c:v>
                </c:pt>
                <c:pt idx="3">
                  <c:v>155</c:v>
                </c:pt>
                <c:pt idx="4">
                  <c:v>168</c:v>
                </c:pt>
                <c:pt idx="5">
                  <c:v>125</c:v>
                </c:pt>
                <c:pt idx="6">
                  <c:v>195</c:v>
                </c:pt>
                <c:pt idx="7">
                  <c:v>202</c:v>
                </c:pt>
                <c:pt idx="8">
                  <c:v>118</c:v>
                </c:pt>
                <c:pt idx="9">
                  <c:v>200</c:v>
                </c:pt>
                <c:pt idx="10">
                  <c:v>189</c:v>
                </c:pt>
                <c:pt idx="11">
                  <c:v>222</c:v>
                </c:pt>
              </c:numCache>
            </c:numRef>
          </c:yVal>
          <c:smooth val="0"/>
          <c:extLst>
            <c:ext xmlns:c16="http://schemas.microsoft.com/office/drawing/2014/chart" uri="{C3380CC4-5D6E-409C-BE32-E72D297353CC}">
              <c16:uniqueId val="{00000002-A1A9-4AE0-9EBF-88C20FE8D717}"/>
            </c:ext>
          </c:extLst>
        </c:ser>
        <c:dLbls>
          <c:showLegendKey val="0"/>
          <c:showVal val="0"/>
          <c:showCatName val="0"/>
          <c:showSerName val="0"/>
          <c:showPercent val="0"/>
          <c:showBubbleSize val="0"/>
        </c:dLbls>
        <c:axId val="1002875183"/>
        <c:axId val="1002884783"/>
      </c:scatterChart>
      <c:catAx>
        <c:axId val="100287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45C8A"/>
                </a:solidFill>
                <a:latin typeface="+mn-lt"/>
                <a:ea typeface="+mn-ea"/>
                <a:cs typeface="+mn-cs"/>
              </a:defRPr>
            </a:pPr>
            <a:endParaRPr lang="en-US"/>
          </a:p>
        </c:txPr>
        <c:crossAx val="1002884783"/>
        <c:crosses val="autoZero"/>
        <c:auto val="1"/>
        <c:lblAlgn val="ctr"/>
        <c:lblOffset val="100"/>
        <c:noMultiLvlLbl val="0"/>
      </c:catAx>
      <c:valAx>
        <c:axId val="1002884783"/>
        <c:scaling>
          <c:orientation val="minMax"/>
        </c:scaling>
        <c:delete val="0"/>
        <c:axPos val="l"/>
        <c:majorGridlines>
          <c:spPr>
            <a:ln w="9525" cap="flat" cmpd="sng" algn="ctr">
              <a:solidFill>
                <a:srgbClr val="545C8A">
                  <a:alpha val="33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00287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1"/>
          <c:order val="0"/>
          <c:spPr>
            <a:ln>
              <a:noFill/>
            </a:ln>
          </c:spPr>
          <c:dPt>
            <c:idx val="0"/>
            <c:bubble3D val="0"/>
            <c:spPr>
              <a:gradFill>
                <a:gsLst>
                  <a:gs pos="0">
                    <a:srgbClr val="03C0C0"/>
                  </a:gs>
                  <a:gs pos="100000">
                    <a:srgbClr val="007376"/>
                  </a:gs>
                </a:gsLst>
                <a:lin ang="5400000" scaled="0"/>
              </a:gradFill>
              <a:ln>
                <a:noFill/>
              </a:ln>
              <a:effectLst>
                <a:outerShdw blurRad="63500" dist="25400" sx="102000" sy="102000" algn="ctr" rotWithShape="0">
                  <a:prstClr val="black">
                    <a:alpha val="40000"/>
                  </a:prstClr>
                </a:outerShdw>
              </a:effectLst>
            </c:spPr>
            <c:extLst>
              <c:ext xmlns:c16="http://schemas.microsoft.com/office/drawing/2014/chart" uri="{C3380CC4-5D6E-409C-BE32-E72D297353CC}">
                <c16:uniqueId val="{00000001-9A5C-46DB-B5B7-3FE0C3BE5693}"/>
              </c:ext>
            </c:extLst>
          </c:dPt>
          <c:dPt>
            <c:idx val="1"/>
            <c:bubble3D val="0"/>
            <c:spPr>
              <a:noFill/>
              <a:ln>
                <a:noFill/>
              </a:ln>
            </c:spPr>
            <c:extLst>
              <c:ext xmlns:c16="http://schemas.microsoft.com/office/drawing/2014/chart" uri="{C3380CC4-5D6E-409C-BE32-E72D297353CC}">
                <c16:uniqueId val="{00000003-9A5C-46DB-B5B7-3FE0C3BE5693}"/>
              </c:ext>
            </c:extLst>
          </c:dPt>
          <c:dPt>
            <c:idx val="2"/>
            <c:bubble3D val="0"/>
            <c:spPr>
              <a:gradFill flip="none" rotWithShape="1">
                <a:gsLst>
                  <a:gs pos="0">
                    <a:srgbClr val="4695B8"/>
                  </a:gs>
                  <a:gs pos="100000">
                    <a:srgbClr val="152E3F"/>
                  </a:gs>
                </a:gsLst>
                <a:path path="circle">
                  <a:fillToRect r="100000" b="100000"/>
                </a:path>
                <a:tileRect l="-100000" t="-100000"/>
              </a:gradFill>
              <a:ln>
                <a:noFill/>
              </a:ln>
              <a:effectLst>
                <a:outerShdw blurRad="63500" dist="25400" dir="8880000" sx="102000" sy="102000" algn="ctr" rotWithShape="0">
                  <a:prstClr val="black">
                    <a:alpha val="40000"/>
                  </a:prstClr>
                </a:outerShdw>
              </a:effectLst>
            </c:spPr>
            <c:extLst>
              <c:ext xmlns:c16="http://schemas.microsoft.com/office/drawing/2014/chart" uri="{C3380CC4-5D6E-409C-BE32-E72D297353CC}">
                <c16:uniqueId val="{00000005-9A5C-46DB-B5B7-3FE0C3BE5693}"/>
              </c:ext>
            </c:extLst>
          </c:dPt>
          <c:dPt>
            <c:idx val="3"/>
            <c:bubble3D val="0"/>
            <c:spPr>
              <a:noFill/>
              <a:ln>
                <a:noFill/>
              </a:ln>
            </c:spPr>
            <c:extLst>
              <c:ext xmlns:c16="http://schemas.microsoft.com/office/drawing/2014/chart" uri="{C3380CC4-5D6E-409C-BE32-E72D297353CC}">
                <c16:uniqueId val="{00000007-9A5C-46DB-B5B7-3FE0C3BE5693}"/>
              </c:ext>
            </c:extLst>
          </c:dPt>
          <c:cat>
            <c:strRef>
              <c:f>Processing!$A$60:$A$63</c:f>
              <c:strCache>
                <c:ptCount val="4"/>
                <c:pt idx="0">
                  <c:v>Consumer</c:v>
                </c:pt>
                <c:pt idx="1">
                  <c:v>Corporate</c:v>
                </c:pt>
                <c:pt idx="2">
                  <c:v>Enterprise</c:v>
                </c:pt>
                <c:pt idx="3">
                  <c:v>Retail</c:v>
                </c:pt>
              </c:strCache>
            </c:strRef>
          </c:cat>
          <c:val>
            <c:numRef>
              <c:f>Processing!$B$60:$B$63</c:f>
              <c:numCache>
                <c:formatCode>_("$"* #\ ##0_);_("$"* \(#\ ##0\);_("$"* "-"??_);_(@_)</c:formatCode>
                <c:ptCount val="4"/>
                <c:pt idx="0">
                  <c:v>79123.5</c:v>
                </c:pt>
                <c:pt idx="1">
                  <c:v>85563.199999999997</c:v>
                </c:pt>
                <c:pt idx="2">
                  <c:v>75437.7</c:v>
                </c:pt>
                <c:pt idx="3">
                  <c:v>161540.20000000001</c:v>
                </c:pt>
              </c:numCache>
            </c:numRef>
          </c:val>
          <c:extLst>
            <c:ext xmlns:c16="http://schemas.microsoft.com/office/drawing/2014/chart" uri="{C3380CC4-5D6E-409C-BE32-E72D297353CC}">
              <c16:uniqueId val="{00000008-9A5C-46DB-B5B7-3FE0C3BE5693}"/>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noFill/>
              <a:ln w="19050">
                <a:noFill/>
              </a:ln>
              <a:effectLst/>
            </c:spPr>
            <c:extLst>
              <c:ext xmlns:c16="http://schemas.microsoft.com/office/drawing/2014/chart" uri="{C3380CC4-5D6E-409C-BE32-E72D297353CC}">
                <c16:uniqueId val="{00000001-A956-4539-9871-E136F45F72D4}"/>
              </c:ext>
            </c:extLst>
          </c:dPt>
          <c:dPt>
            <c:idx val="1"/>
            <c:bubble3D val="0"/>
            <c:spPr>
              <a:gradFill flip="none" rotWithShape="1">
                <a:gsLst>
                  <a:gs pos="0">
                    <a:srgbClr val="00DBCA"/>
                  </a:gs>
                  <a:gs pos="97000">
                    <a:srgbClr val="03AD91"/>
                  </a:gs>
                </a:gsLst>
                <a:lin ang="13500000" scaled="1"/>
                <a:tileRect/>
              </a:gradFill>
              <a:ln w="19050">
                <a:noFill/>
              </a:ln>
              <a:effectLst>
                <a:outerShdw blurRad="50800" dist="63500" dir="2700000" algn="tl" rotWithShape="0">
                  <a:prstClr val="black">
                    <a:alpha val="40000"/>
                  </a:prstClr>
                </a:outerShdw>
              </a:effectLst>
            </c:spPr>
            <c:extLst>
              <c:ext xmlns:c16="http://schemas.microsoft.com/office/drawing/2014/chart" uri="{C3380CC4-5D6E-409C-BE32-E72D297353CC}">
                <c16:uniqueId val="{00000003-A956-4539-9871-E136F45F72D4}"/>
              </c:ext>
            </c:extLst>
          </c:dPt>
          <c:dPt>
            <c:idx val="2"/>
            <c:bubble3D val="0"/>
            <c:spPr>
              <a:noFill/>
              <a:ln w="19050">
                <a:noFill/>
              </a:ln>
              <a:effectLst/>
            </c:spPr>
            <c:extLst>
              <c:ext xmlns:c16="http://schemas.microsoft.com/office/drawing/2014/chart" uri="{C3380CC4-5D6E-409C-BE32-E72D297353CC}">
                <c16:uniqueId val="{00000005-A956-4539-9871-E136F45F72D4}"/>
              </c:ext>
            </c:extLst>
          </c:dPt>
          <c:dPt>
            <c:idx val="3"/>
            <c:bubble3D val="0"/>
            <c:spPr>
              <a:noFill/>
              <a:ln w="19050">
                <a:noFill/>
              </a:ln>
              <a:effectLst/>
            </c:spPr>
            <c:extLst>
              <c:ext xmlns:c16="http://schemas.microsoft.com/office/drawing/2014/chart" uri="{C3380CC4-5D6E-409C-BE32-E72D297353CC}">
                <c16:uniqueId val="{00000007-A956-4539-9871-E136F45F72D4}"/>
              </c:ext>
            </c:extLst>
          </c:dPt>
          <c:cat>
            <c:strRef>
              <c:f>Processing!$A$60:$A$63</c:f>
              <c:strCache>
                <c:ptCount val="4"/>
                <c:pt idx="0">
                  <c:v>Consumer</c:v>
                </c:pt>
                <c:pt idx="1">
                  <c:v>Corporate</c:v>
                </c:pt>
                <c:pt idx="2">
                  <c:v>Enterprise</c:v>
                </c:pt>
                <c:pt idx="3">
                  <c:v>Retail</c:v>
                </c:pt>
              </c:strCache>
            </c:strRef>
          </c:cat>
          <c:val>
            <c:numRef>
              <c:f>Processing!$B$60:$B$63</c:f>
              <c:numCache>
                <c:formatCode>_("$"* #\ ##0_);_("$"* \(#\ ##0\);_("$"* "-"??_);_(@_)</c:formatCode>
                <c:ptCount val="4"/>
                <c:pt idx="0">
                  <c:v>79123.5</c:v>
                </c:pt>
                <c:pt idx="1">
                  <c:v>85563.199999999997</c:v>
                </c:pt>
                <c:pt idx="2">
                  <c:v>75437.7</c:v>
                </c:pt>
                <c:pt idx="3">
                  <c:v>161540.20000000001</c:v>
                </c:pt>
              </c:numCache>
            </c:numRef>
          </c:val>
          <c:extLst>
            <c:ext xmlns:c16="http://schemas.microsoft.com/office/drawing/2014/chart" uri="{C3380CC4-5D6E-409C-BE32-E72D297353CC}">
              <c16:uniqueId val="{00000008-A956-4539-9871-E136F45F72D4}"/>
            </c:ext>
          </c:extLst>
        </c:ser>
        <c:dLbls>
          <c:showLegendKey val="0"/>
          <c:showVal val="0"/>
          <c:showCatName val="0"/>
          <c:showSerName val="0"/>
          <c:showPercent val="0"/>
          <c:showBubbleSize val="0"/>
          <c:showLeaderLines val="1"/>
        </c:dLbls>
        <c:firstSliceAng val="0"/>
      </c:pie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FF2E9F"/>
                  </a:gs>
                  <a:gs pos="100000">
                    <a:srgbClr val="FF00E0"/>
                  </a:gs>
                </a:gsLst>
                <a:lin ang="2700000" scaled="0"/>
              </a:gradFill>
              <a:ln w="88900">
                <a:gradFill>
                  <a:gsLst>
                    <a:gs pos="0">
                      <a:srgbClr val="FF2E9F"/>
                    </a:gs>
                    <a:gs pos="100000">
                      <a:srgbClr val="FF00E0"/>
                    </a:gs>
                  </a:gsLst>
                  <a:lin ang="2700000" scaled="0"/>
                </a:gradFill>
              </a:ln>
              <a:effectLst/>
            </c:spPr>
            <c:extLst>
              <c:ext xmlns:c16="http://schemas.microsoft.com/office/drawing/2014/chart" uri="{C3380CC4-5D6E-409C-BE32-E72D297353CC}">
                <c16:uniqueId val="{00000001-ED34-4826-92A7-81553F8DBC69}"/>
              </c:ext>
            </c:extLst>
          </c:dPt>
          <c:dPt>
            <c:idx val="1"/>
            <c:bubble3D val="0"/>
            <c:spPr>
              <a:solidFill>
                <a:srgbClr val="741E51"/>
              </a:solidFill>
              <a:ln w="88900">
                <a:solidFill>
                  <a:srgbClr val="741E51"/>
                </a:solidFill>
              </a:ln>
              <a:effectLst/>
            </c:spPr>
            <c:extLst>
              <c:ext xmlns:c16="http://schemas.microsoft.com/office/drawing/2014/chart" uri="{C3380CC4-5D6E-409C-BE32-E72D297353CC}">
                <c16:uniqueId val="{00000003-ED34-4826-92A7-81553F8DBC69}"/>
              </c:ext>
            </c:extLst>
          </c:dPt>
          <c:dPt>
            <c:idx val="2"/>
            <c:bubble3D val="0"/>
            <c:spPr>
              <a:noFill/>
              <a:ln w="19050">
                <a:noFill/>
              </a:ln>
              <a:effectLst/>
            </c:spPr>
            <c:extLst>
              <c:ext xmlns:c16="http://schemas.microsoft.com/office/drawing/2014/chart" uri="{C3380CC4-5D6E-409C-BE32-E72D297353CC}">
                <c16:uniqueId val="{00000005-ED34-4826-92A7-81553F8DBC69}"/>
              </c:ext>
            </c:extLst>
          </c:dPt>
          <c:dPt>
            <c:idx val="3"/>
            <c:bubble3D val="0"/>
            <c:spPr>
              <a:gradFill>
                <a:gsLst>
                  <a:gs pos="100000">
                    <a:srgbClr val="C44DFF"/>
                  </a:gs>
                  <a:gs pos="0">
                    <a:srgbClr val="7B2FFF"/>
                  </a:gs>
                </a:gsLst>
                <a:lin ang="2700000" scaled="0"/>
              </a:gradFill>
              <a:ln w="88900">
                <a:gradFill>
                  <a:gsLst>
                    <a:gs pos="0">
                      <a:srgbClr val="7B2FFF"/>
                    </a:gs>
                    <a:gs pos="100000">
                      <a:srgbClr val="C44DFF"/>
                    </a:gs>
                  </a:gsLst>
                  <a:lin ang="2700000" scaled="0"/>
                </a:gradFill>
              </a:ln>
              <a:effectLst/>
            </c:spPr>
            <c:extLst>
              <c:ext xmlns:c16="http://schemas.microsoft.com/office/drawing/2014/chart" uri="{C3380CC4-5D6E-409C-BE32-E72D297353CC}">
                <c16:uniqueId val="{00000007-ED34-4826-92A7-81553F8DBC69}"/>
              </c:ext>
            </c:extLst>
          </c:dPt>
          <c:dPt>
            <c:idx val="4"/>
            <c:bubble3D val="0"/>
            <c:spPr>
              <a:solidFill>
                <a:srgbClr val="251B4C"/>
              </a:solidFill>
              <a:ln w="88900">
                <a:solidFill>
                  <a:srgbClr val="251B4C"/>
                </a:solidFill>
              </a:ln>
              <a:effectLst/>
            </c:spPr>
            <c:extLst>
              <c:ext xmlns:c16="http://schemas.microsoft.com/office/drawing/2014/chart" uri="{C3380CC4-5D6E-409C-BE32-E72D297353CC}">
                <c16:uniqueId val="{00000009-ED34-4826-92A7-81553F8DBC69}"/>
              </c:ext>
            </c:extLst>
          </c:dPt>
          <c:dPt>
            <c:idx val="5"/>
            <c:bubble3D val="0"/>
            <c:spPr>
              <a:noFill/>
              <a:ln w="19050">
                <a:noFill/>
              </a:ln>
              <a:effectLst/>
            </c:spPr>
            <c:extLst>
              <c:ext xmlns:c16="http://schemas.microsoft.com/office/drawing/2014/chart" uri="{C3380CC4-5D6E-409C-BE32-E72D297353CC}">
                <c16:uniqueId val="{0000000B-ED34-4826-92A7-81553F8DBC69}"/>
              </c:ext>
            </c:extLst>
          </c:dPt>
          <c:dPt>
            <c:idx val="6"/>
            <c:bubble3D val="0"/>
            <c:spPr>
              <a:gradFill>
                <a:gsLst>
                  <a:gs pos="0">
                    <a:srgbClr val="00F5FF"/>
                  </a:gs>
                  <a:gs pos="100000">
                    <a:srgbClr val="00A8FF"/>
                  </a:gs>
                </a:gsLst>
                <a:lin ang="2700000" scaled="0"/>
              </a:gradFill>
              <a:ln w="88900">
                <a:gradFill>
                  <a:gsLst>
                    <a:gs pos="0">
                      <a:srgbClr val="00F5FF"/>
                    </a:gs>
                    <a:gs pos="100000">
                      <a:srgbClr val="00A8FF"/>
                    </a:gs>
                  </a:gsLst>
                  <a:lin ang="2700000" scaled="0"/>
                </a:gradFill>
              </a:ln>
              <a:effectLst/>
            </c:spPr>
            <c:extLst>
              <c:ext xmlns:c16="http://schemas.microsoft.com/office/drawing/2014/chart" uri="{C3380CC4-5D6E-409C-BE32-E72D297353CC}">
                <c16:uniqueId val="{0000000D-ED34-4826-92A7-81553F8DBC69}"/>
              </c:ext>
            </c:extLst>
          </c:dPt>
          <c:dPt>
            <c:idx val="7"/>
            <c:bubble3D val="0"/>
            <c:spPr>
              <a:solidFill>
                <a:srgbClr val="004C4C"/>
              </a:solidFill>
              <a:ln w="88900">
                <a:solidFill>
                  <a:srgbClr val="004C4C"/>
                </a:solidFill>
              </a:ln>
              <a:effectLst/>
            </c:spPr>
            <c:extLst>
              <c:ext xmlns:c16="http://schemas.microsoft.com/office/drawing/2014/chart" uri="{C3380CC4-5D6E-409C-BE32-E72D297353CC}">
                <c16:uniqueId val="{0000000F-ED34-4826-92A7-81553F8DBC69}"/>
              </c:ext>
            </c:extLst>
          </c:dPt>
          <c:dPt>
            <c:idx val="8"/>
            <c:bubble3D val="0"/>
            <c:spPr>
              <a:noFill/>
              <a:ln w="19050">
                <a:noFill/>
              </a:ln>
              <a:effectLst/>
            </c:spPr>
            <c:extLst>
              <c:ext xmlns:c16="http://schemas.microsoft.com/office/drawing/2014/chart" uri="{C3380CC4-5D6E-409C-BE32-E72D297353CC}">
                <c16:uniqueId val="{00000011-ED34-4826-92A7-81553F8DBC69}"/>
              </c:ext>
            </c:extLst>
          </c:dPt>
          <c:dPt>
            <c:idx val="9"/>
            <c:bubble3D val="0"/>
            <c:spPr>
              <a:gradFill>
                <a:gsLst>
                  <a:gs pos="0">
                    <a:srgbClr val="A8FF3E"/>
                  </a:gs>
                  <a:gs pos="100000">
                    <a:srgbClr val="00FF9D"/>
                  </a:gs>
                </a:gsLst>
                <a:lin ang="2700000" scaled="0"/>
              </a:gradFill>
              <a:ln w="88900">
                <a:gradFill>
                  <a:gsLst>
                    <a:gs pos="0">
                      <a:srgbClr val="A8FF3E"/>
                    </a:gs>
                    <a:gs pos="100000">
                      <a:srgbClr val="00FF9D"/>
                    </a:gs>
                  </a:gsLst>
                  <a:lin ang="2700000" scaled="0"/>
                </a:gradFill>
              </a:ln>
              <a:effectLst/>
            </c:spPr>
            <c:extLst>
              <c:ext xmlns:c16="http://schemas.microsoft.com/office/drawing/2014/chart" uri="{C3380CC4-5D6E-409C-BE32-E72D297353CC}">
                <c16:uniqueId val="{00000013-ED34-4826-92A7-81553F8DBC69}"/>
              </c:ext>
            </c:extLst>
          </c:dPt>
          <c:dPt>
            <c:idx val="10"/>
            <c:bubble3D val="0"/>
            <c:spPr>
              <a:solidFill>
                <a:srgbClr val="274B04"/>
              </a:solidFill>
              <a:ln w="88900">
                <a:solidFill>
                  <a:srgbClr val="274B04"/>
                </a:solidFill>
              </a:ln>
              <a:effectLst/>
            </c:spPr>
            <c:extLst>
              <c:ext xmlns:c16="http://schemas.microsoft.com/office/drawing/2014/chart" uri="{C3380CC4-5D6E-409C-BE32-E72D297353CC}">
                <c16:uniqueId val="{00000015-ED34-4826-92A7-81553F8DBC69}"/>
              </c:ext>
            </c:extLst>
          </c:dPt>
          <c:dPt>
            <c:idx val="11"/>
            <c:bubble3D val="0"/>
            <c:spPr>
              <a:noFill/>
              <a:ln w="19050">
                <a:noFill/>
              </a:ln>
              <a:effectLst/>
            </c:spPr>
            <c:extLst>
              <c:ext xmlns:c16="http://schemas.microsoft.com/office/drawing/2014/chart" uri="{C3380CC4-5D6E-409C-BE32-E72D297353CC}">
                <c16:uniqueId val="{00000017-ED34-4826-92A7-81553F8DBC69}"/>
              </c:ext>
            </c:extLst>
          </c:dPt>
          <c:val>
            <c:numRef>
              <c:f>Processing!$E$77:$E$88</c:f>
              <c:numCache>
                <c:formatCode>0%</c:formatCode>
                <c:ptCount val="12"/>
                <c:pt idx="0">
                  <c:v>0.18245745330805849</c:v>
                </c:pt>
                <c:pt idx="1">
                  <c:v>#N/A</c:v>
                </c:pt>
                <c:pt idx="2">
                  <c:v>3.5000000000000003E-2</c:v>
                </c:pt>
                <c:pt idx="3">
                  <c:v>0.24152041280212397</c:v>
                </c:pt>
                <c:pt idx="4">
                  <c:v>#N/A</c:v>
                </c:pt>
                <c:pt idx="5">
                  <c:v>3.5000000000000003E-2</c:v>
                </c:pt>
                <c:pt idx="6">
                  <c:v>0.25129735107350759</c:v>
                </c:pt>
                <c:pt idx="7">
                  <c:v>#N/A</c:v>
                </c:pt>
                <c:pt idx="8">
                  <c:v>3.5000000000000003E-2</c:v>
                </c:pt>
                <c:pt idx="9">
                  <c:v>0.3247247828163099</c:v>
                </c:pt>
                <c:pt idx="10">
                  <c:v>#N/A</c:v>
                </c:pt>
                <c:pt idx="11">
                  <c:v>3.5000000000000003E-2</c:v>
                </c:pt>
              </c:numCache>
            </c:numRef>
          </c:val>
          <c:extLst>
            <c:ext xmlns:c16="http://schemas.microsoft.com/office/drawing/2014/chart" uri="{C3380CC4-5D6E-409C-BE32-E72D297353CC}">
              <c16:uniqueId val="{00000018-ED34-4826-92A7-81553F8DBC69}"/>
            </c:ext>
          </c:extLst>
        </c:ser>
        <c:dLbls>
          <c:showLegendKey val="0"/>
          <c:showVal val="0"/>
          <c:showCatName val="0"/>
          <c:showSerName val="0"/>
          <c:showPercent val="0"/>
          <c:showBubbleSize val="0"/>
          <c:showLeaderLines val="1"/>
        </c:dLbls>
        <c:firstSliceAng val="0"/>
        <c:holeSize val="60"/>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883975750169531E-2"/>
          <c:y val="0.1513891479434496"/>
          <c:w val="0.87614432959885602"/>
          <c:h val="0.65855751876061452"/>
        </c:manualLayout>
      </c:layout>
      <c:areaChart>
        <c:grouping val="standard"/>
        <c:varyColors val="0"/>
        <c:ser>
          <c:idx val="2"/>
          <c:order val="2"/>
          <c:tx>
            <c:strRef>
              <c:f>Processing!$B$100</c:f>
              <c:strCache>
                <c:ptCount val="1"/>
                <c:pt idx="0">
                  <c:v>Revenue</c:v>
                </c:pt>
              </c:strCache>
            </c:strRef>
          </c:tx>
          <c:spPr>
            <a:gradFill flip="none" rotWithShape="1">
              <a:gsLst>
                <a:gs pos="5000">
                  <a:srgbClr val="7C5CFF">
                    <a:alpha val="50000"/>
                  </a:srgbClr>
                </a:gs>
                <a:gs pos="100000">
                  <a:srgbClr val="7C5CFF">
                    <a:alpha val="0"/>
                  </a:srgbClr>
                </a:gs>
              </a:gsLst>
              <a:lin ang="5400000" scaled="0"/>
              <a:tileRect/>
            </a:gradFill>
            <a:ln>
              <a:noFill/>
            </a:ln>
            <a:effectLst/>
          </c:spPr>
          <c:cat>
            <c:strRef>
              <c:f>Processing!$A$101:$A$112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Processing!$B$101:$B$112</c:f>
              <c:numCache>
                <c:formatCode>_("$"* #\ ##0_);_("$"* \(#\ ##0\);_("$"* "-"??_);_(@_)</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val>
          <c:extLst>
            <c:ext xmlns:c16="http://schemas.microsoft.com/office/drawing/2014/chart" uri="{C3380CC4-5D6E-409C-BE32-E72D297353CC}">
              <c16:uniqueId val="{00000000-B5EC-4FE9-861D-F5555326964C}"/>
            </c:ext>
          </c:extLst>
        </c:ser>
        <c:ser>
          <c:idx val="3"/>
          <c:order val="3"/>
          <c:tx>
            <c:strRef>
              <c:f>Processing!$C$100</c:f>
              <c:strCache>
                <c:ptCount val="1"/>
                <c:pt idx="0">
                  <c:v>Expenses</c:v>
                </c:pt>
              </c:strCache>
            </c:strRef>
          </c:tx>
          <c:spPr>
            <a:gradFill>
              <a:gsLst>
                <a:gs pos="5000">
                  <a:srgbClr val="FF2A85">
                    <a:alpha val="30000"/>
                  </a:srgbClr>
                </a:gs>
                <a:gs pos="100000">
                  <a:srgbClr val="FF2A85">
                    <a:alpha val="0"/>
                  </a:srgbClr>
                </a:gs>
              </a:gsLst>
              <a:lin ang="5400000" scaled="0"/>
            </a:gradFill>
            <a:ln>
              <a:noFill/>
            </a:ln>
            <a:effectLst/>
          </c:spPr>
          <c:cat>
            <c:strRef>
              <c:f>Processing!$A$101:$A$112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Processing!$C$101:$C$112</c:f>
              <c:numCache>
                <c:formatCode>_("$"* #\ ##0_);_("$"* \(#\ ##0\);_("$"* "-"??_);_(@_)</c:formatCode>
                <c:ptCount val="12"/>
                <c:pt idx="0">
                  <c:v>21232.489999999998</c:v>
                </c:pt>
                <c:pt idx="1">
                  <c:v>27219.700000000008</c:v>
                </c:pt>
                <c:pt idx="2">
                  <c:v>15475.44</c:v>
                </c:pt>
                <c:pt idx="3">
                  <c:v>17947.329999999998</c:v>
                </c:pt>
                <c:pt idx="4">
                  <c:v>19789.03</c:v>
                </c:pt>
                <c:pt idx="5">
                  <c:v>13803.990000000002</c:v>
                </c:pt>
                <c:pt idx="6">
                  <c:v>27909.069999999996</c:v>
                </c:pt>
                <c:pt idx="7">
                  <c:v>24265.979999999996</c:v>
                </c:pt>
                <c:pt idx="8">
                  <c:v>14316.279999999999</c:v>
                </c:pt>
                <c:pt idx="9">
                  <c:v>15784.970000000001</c:v>
                </c:pt>
                <c:pt idx="10">
                  <c:v>28440.330000000005</c:v>
                </c:pt>
                <c:pt idx="11">
                  <c:v>31312.199999999997</c:v>
                </c:pt>
              </c:numCache>
            </c:numRef>
          </c:val>
          <c:extLst>
            <c:ext xmlns:c16="http://schemas.microsoft.com/office/drawing/2014/chart" uri="{C3380CC4-5D6E-409C-BE32-E72D297353CC}">
              <c16:uniqueId val="{00000001-B5EC-4FE9-861D-F5555326964C}"/>
            </c:ext>
          </c:extLst>
        </c:ser>
        <c:dLbls>
          <c:showLegendKey val="0"/>
          <c:showVal val="0"/>
          <c:showCatName val="0"/>
          <c:showSerName val="0"/>
          <c:showPercent val="0"/>
          <c:showBubbleSize val="0"/>
        </c:dLbls>
        <c:axId val="274098320"/>
        <c:axId val="226536448"/>
      </c:areaChart>
      <c:lineChart>
        <c:grouping val="standard"/>
        <c:varyColors val="0"/>
        <c:ser>
          <c:idx val="0"/>
          <c:order val="0"/>
          <c:tx>
            <c:v>R_Fill</c:v>
          </c:tx>
          <c:spPr>
            <a:ln w="19050" cap="rnd">
              <a:solidFill>
                <a:srgbClr val="7C5CFF"/>
              </a:solidFill>
              <a:round/>
            </a:ln>
            <a:effectLst>
              <a:outerShdw blurRad="50800" dist="38100" dir="5400000" algn="t" rotWithShape="0">
                <a:prstClr val="black">
                  <a:alpha val="40000"/>
                </a:prstClr>
              </a:outerShdw>
            </a:effectLst>
          </c:spPr>
          <c:marker>
            <c:symbol val="circle"/>
            <c:size val="4"/>
            <c:spPr>
              <a:solidFill>
                <a:srgbClr val="7C5CFF"/>
              </a:solidFill>
              <a:ln w="9525">
                <a:noFill/>
              </a:ln>
              <a:effectLst>
                <a:outerShdw blurRad="50800" dist="38100" dir="5400000" algn="t" rotWithShape="0">
                  <a:prstClr val="black">
                    <a:alpha val="40000"/>
                  </a:prstClr>
                </a:outerShdw>
              </a:effectLst>
            </c:spPr>
          </c:marker>
          <c:val>
            <c:numRef>
              <c:f>Processing!$B$101:$B$112</c:f>
              <c:numCache>
                <c:formatCode>_("$"* #\ ##0_);_("$"* \(#\ ##0\);_("$"* "-"??_);_(@_)</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val>
          <c:smooth val="0"/>
          <c:extLst>
            <c:ext xmlns:c16="http://schemas.microsoft.com/office/drawing/2014/chart" uri="{C3380CC4-5D6E-409C-BE32-E72D297353CC}">
              <c16:uniqueId val="{00000002-B5EC-4FE9-861D-F5555326964C}"/>
            </c:ext>
          </c:extLst>
        </c:ser>
        <c:ser>
          <c:idx val="1"/>
          <c:order val="1"/>
          <c:tx>
            <c:v>E_Fill</c:v>
          </c:tx>
          <c:spPr>
            <a:ln w="19050" cap="rnd">
              <a:solidFill>
                <a:srgbClr val="FF2A85"/>
              </a:solidFill>
              <a:round/>
            </a:ln>
            <a:effectLst>
              <a:outerShdw blurRad="50800" dist="38100" dir="5400000" algn="t" rotWithShape="0">
                <a:prstClr val="black">
                  <a:alpha val="40000"/>
                </a:prstClr>
              </a:outerShdw>
            </a:effectLst>
          </c:spPr>
          <c:marker>
            <c:symbol val="circle"/>
            <c:size val="4"/>
            <c:spPr>
              <a:solidFill>
                <a:srgbClr val="FF2A85"/>
              </a:solidFill>
              <a:ln w="9525">
                <a:noFill/>
              </a:ln>
              <a:effectLst>
                <a:outerShdw blurRad="50800" dist="38100" dir="5400000" algn="t" rotWithShape="0">
                  <a:prstClr val="black">
                    <a:alpha val="40000"/>
                  </a:prstClr>
                </a:outerShdw>
              </a:effectLst>
            </c:spPr>
          </c:marker>
          <c:val>
            <c:numRef>
              <c:f>Processing!$C$101:$C$112</c:f>
              <c:numCache>
                <c:formatCode>_("$"* #\ ##0_);_("$"* \(#\ ##0\);_("$"* "-"??_);_(@_)</c:formatCode>
                <c:ptCount val="12"/>
                <c:pt idx="0">
                  <c:v>21232.489999999998</c:v>
                </c:pt>
                <c:pt idx="1">
                  <c:v>27219.700000000008</c:v>
                </c:pt>
                <c:pt idx="2">
                  <c:v>15475.44</c:v>
                </c:pt>
                <c:pt idx="3">
                  <c:v>17947.329999999998</c:v>
                </c:pt>
                <c:pt idx="4">
                  <c:v>19789.03</c:v>
                </c:pt>
                <c:pt idx="5">
                  <c:v>13803.990000000002</c:v>
                </c:pt>
                <c:pt idx="6">
                  <c:v>27909.069999999996</c:v>
                </c:pt>
                <c:pt idx="7">
                  <c:v>24265.979999999996</c:v>
                </c:pt>
                <c:pt idx="8">
                  <c:v>14316.279999999999</c:v>
                </c:pt>
                <c:pt idx="9">
                  <c:v>15784.970000000001</c:v>
                </c:pt>
                <c:pt idx="10">
                  <c:v>28440.330000000005</c:v>
                </c:pt>
                <c:pt idx="11">
                  <c:v>31312.199999999997</c:v>
                </c:pt>
              </c:numCache>
            </c:numRef>
          </c:val>
          <c:smooth val="0"/>
          <c:extLst>
            <c:ext xmlns:c16="http://schemas.microsoft.com/office/drawing/2014/chart" uri="{C3380CC4-5D6E-409C-BE32-E72D297353CC}">
              <c16:uniqueId val="{00000003-B5EC-4FE9-861D-F5555326964C}"/>
            </c:ext>
          </c:extLst>
        </c:ser>
        <c:dLbls>
          <c:showLegendKey val="0"/>
          <c:showVal val="0"/>
          <c:showCatName val="0"/>
          <c:showSerName val="0"/>
          <c:showPercent val="0"/>
          <c:showBubbleSize val="0"/>
        </c:dLbls>
        <c:marker val="1"/>
        <c:smooth val="0"/>
        <c:axId val="274098320"/>
        <c:axId val="226536448"/>
      </c:lineChart>
      <c:scatterChart>
        <c:scatterStyle val="lineMarker"/>
        <c:varyColors val="0"/>
        <c:ser>
          <c:idx val="4"/>
          <c:order val="4"/>
          <c:tx>
            <c:strRef>
              <c:f>Processing!$D$100</c:f>
              <c:strCache>
                <c:ptCount val="1"/>
                <c:pt idx="0">
                  <c:v>Cursor R</c:v>
                </c:pt>
              </c:strCache>
            </c:strRef>
          </c:tx>
          <c:spPr>
            <a:ln w="25400" cap="rnd">
              <a:noFill/>
              <a:round/>
            </a:ln>
            <a:effectLst>
              <a:outerShdw blurRad="50800" dist="38100" dir="5400000" algn="t" rotWithShape="0">
                <a:prstClr val="black">
                  <a:alpha val="40000"/>
                </a:prstClr>
              </a:outerShdw>
            </a:effectLst>
          </c:spPr>
          <c:marker>
            <c:symbol val="circle"/>
            <c:size val="5"/>
            <c:spPr>
              <a:solidFill>
                <a:schemeClr val="bg1"/>
              </a:solidFill>
              <a:ln w="9525">
                <a:solidFill>
                  <a:srgbClr val="7C5CFF"/>
                </a:solidFill>
              </a:ln>
              <a:effectLst>
                <a:outerShdw blurRad="50800" dist="38100" dir="5400000" algn="t" rotWithShape="0">
                  <a:prstClr val="black">
                    <a:alpha val="40000"/>
                  </a:prstClr>
                </a:outerShd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7C5CFF"/>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Processing!$B$101:$B$112</c:f>
                <c:numCache>
                  <c:formatCode>General</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minus>
            <c:spPr>
              <a:noFill/>
              <a:ln w="9525" cap="flat" cmpd="sng" algn="ctr">
                <a:solidFill>
                  <a:schemeClr val="tx2">
                    <a:lumMod val="10000"/>
                    <a:lumOff val="90000"/>
                  </a:schemeClr>
                </a:solidFill>
                <a:prstDash val="sysDash"/>
                <a:round/>
              </a:ln>
              <a:effectLst/>
            </c:spPr>
          </c:errBars>
          <c:xVal>
            <c:strRef>
              <c:f>Processing!$A$101:$A$112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Processing!$D$101:$D$112</c:f>
              <c:numCache>
                <c:formatCode>_("$"* #\ ##0_);_("$"* \(#\ ##0\);_("$"* "-"??_);_(@_)</c:formatCode>
                <c:ptCount val="12"/>
                <c:pt idx="0">
                  <c:v>31876.149999999998</c:v>
                </c:pt>
                <c:pt idx="1">
                  <c:v>46454.799999999996</c:v>
                </c:pt>
                <c:pt idx="2">
                  <c:v>25206.7</c:v>
                </c:pt>
                <c:pt idx="3">
                  <c:v>32333.949999999997</c:v>
                </c:pt>
                <c:pt idx="4">
                  <c:v>29518.1</c:v>
                </c:pt>
                <c:pt idx="5">
                  <c:v>23538.600000000002</c:v>
                </c:pt>
                <c:pt idx="6">
                  <c:v>42508.45</c:v>
                </c:pt>
                <c:pt idx="7">
                  <c:v>35726.1</c:v>
                </c:pt>
                <c:pt idx="8">
                  <c:v>25604.899999999998</c:v>
                </c:pt>
                <c:pt idx="9">
                  <c:v>22430.050000000003</c:v>
                </c:pt>
                <c:pt idx="10">
                  <c:v>43618.950000000004</c:v>
                </c:pt>
                <c:pt idx="11">
                  <c:v>42847.85</c:v>
                </c:pt>
              </c:numCache>
            </c:numRef>
          </c:yVal>
          <c:smooth val="0"/>
          <c:extLst>
            <c:ext xmlns:c16="http://schemas.microsoft.com/office/drawing/2014/chart" uri="{C3380CC4-5D6E-409C-BE32-E72D297353CC}">
              <c16:uniqueId val="{00000004-B5EC-4FE9-861D-F5555326964C}"/>
            </c:ext>
          </c:extLst>
        </c:ser>
        <c:ser>
          <c:idx val="5"/>
          <c:order val="5"/>
          <c:tx>
            <c:strRef>
              <c:f>Processing!$E$100</c:f>
              <c:strCache>
                <c:ptCount val="1"/>
                <c:pt idx="0">
                  <c:v>Cursor E</c:v>
                </c:pt>
              </c:strCache>
            </c:strRef>
          </c:tx>
          <c:spPr>
            <a:ln w="25400" cap="rnd">
              <a:noFill/>
              <a:round/>
            </a:ln>
            <a:effectLst>
              <a:outerShdw blurRad="50800" dist="38100" dir="5400000" algn="t" rotWithShape="0">
                <a:prstClr val="black">
                  <a:alpha val="40000"/>
                </a:prstClr>
              </a:outerShdw>
            </a:effectLst>
          </c:spPr>
          <c:marker>
            <c:symbol val="circle"/>
            <c:size val="5"/>
            <c:spPr>
              <a:solidFill>
                <a:schemeClr val="bg1"/>
              </a:solidFill>
              <a:ln w="9525">
                <a:solidFill>
                  <a:srgbClr val="FF2A85"/>
                </a:solidFill>
              </a:ln>
              <a:effectLst>
                <a:outerShdw blurRad="50800" dist="38100" dir="5400000" algn="t" rotWithShape="0">
                  <a:prstClr val="black">
                    <a:alpha val="40000"/>
                  </a:prstClr>
                </a:outerShdw>
              </a:effectLst>
            </c:spPr>
          </c:marker>
          <c:dLbls>
            <c:numFmt formatCode="0.0,&quot;k&quot;" sourceLinked="0"/>
            <c:spPr>
              <a:solidFill>
                <a:srgbClr val="FF2A85">
                  <a:alpha val="53000"/>
                </a:srgbClr>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c15:spPr>
                <c15:showLeaderLines val="1"/>
                <c15:leaderLines>
                  <c:spPr>
                    <a:ln w="9525" cap="flat" cmpd="sng" algn="ctr">
                      <a:solidFill>
                        <a:schemeClr val="tx1">
                          <a:lumMod val="35000"/>
                          <a:lumOff val="65000"/>
                        </a:schemeClr>
                      </a:solidFill>
                      <a:round/>
                    </a:ln>
                    <a:effectLst/>
                  </c:spPr>
                </c15:leaderLines>
              </c:ext>
            </c:extLst>
          </c:dLbls>
          <c:xVal>
            <c:strRef>
              <c:f>Processing!$A$101:$A$112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Processing!$E$101:$E$112</c:f>
              <c:numCache>
                <c:formatCode>_("$"* #\ ##0_);_("$"* \(#\ ##0\);_("$"* "-"??_);_(@_)</c:formatCode>
                <c:ptCount val="12"/>
                <c:pt idx="0">
                  <c:v>21232.489999999998</c:v>
                </c:pt>
                <c:pt idx="1">
                  <c:v>27219.700000000008</c:v>
                </c:pt>
                <c:pt idx="2">
                  <c:v>15475.44</c:v>
                </c:pt>
                <c:pt idx="3">
                  <c:v>17947.329999999998</c:v>
                </c:pt>
                <c:pt idx="4">
                  <c:v>19789.03</c:v>
                </c:pt>
                <c:pt idx="5">
                  <c:v>13803.990000000002</c:v>
                </c:pt>
                <c:pt idx="6">
                  <c:v>27909.069999999996</c:v>
                </c:pt>
                <c:pt idx="7">
                  <c:v>24265.979999999996</c:v>
                </c:pt>
                <c:pt idx="8">
                  <c:v>14316.279999999999</c:v>
                </c:pt>
                <c:pt idx="9">
                  <c:v>15784.970000000001</c:v>
                </c:pt>
                <c:pt idx="10">
                  <c:v>28440.330000000005</c:v>
                </c:pt>
                <c:pt idx="11">
                  <c:v>31312.199999999997</c:v>
                </c:pt>
              </c:numCache>
            </c:numRef>
          </c:yVal>
          <c:smooth val="0"/>
          <c:extLst>
            <c:ext xmlns:c16="http://schemas.microsoft.com/office/drawing/2014/chart" uri="{C3380CC4-5D6E-409C-BE32-E72D297353CC}">
              <c16:uniqueId val="{00000005-B5EC-4FE9-861D-F5555326964C}"/>
            </c:ext>
          </c:extLst>
        </c:ser>
        <c:dLbls>
          <c:showLegendKey val="0"/>
          <c:showVal val="0"/>
          <c:showCatName val="0"/>
          <c:showSerName val="0"/>
          <c:showPercent val="0"/>
          <c:showBubbleSize val="0"/>
        </c:dLbls>
        <c:axId val="274098320"/>
        <c:axId val="226536448"/>
      </c:scatterChart>
      <c:catAx>
        <c:axId val="2740983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545C8A"/>
                </a:solidFill>
                <a:latin typeface="+mn-lt"/>
                <a:ea typeface="+mn-ea"/>
                <a:cs typeface="+mn-cs"/>
              </a:defRPr>
            </a:pPr>
            <a:endParaRPr lang="en-US"/>
          </a:p>
        </c:txPr>
        <c:crossAx val="226536448"/>
        <c:crosses val="autoZero"/>
        <c:auto val="1"/>
        <c:lblAlgn val="ctr"/>
        <c:lblOffset val="100"/>
        <c:noMultiLvlLbl val="0"/>
      </c:catAx>
      <c:valAx>
        <c:axId val="226536448"/>
        <c:scaling>
          <c:orientation val="minMax"/>
          <c:min val="0"/>
        </c:scaling>
        <c:delete val="0"/>
        <c:axPos val="l"/>
        <c:majorGridlines>
          <c:spPr>
            <a:ln w="9525" cap="flat" cmpd="sng" algn="ctr">
              <a:solidFill>
                <a:srgbClr val="545C8A">
                  <a:alpha val="30000"/>
                </a:srgb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45C8A"/>
                </a:solidFill>
                <a:latin typeface="+mn-lt"/>
                <a:ea typeface="+mn-ea"/>
                <a:cs typeface="+mn-cs"/>
              </a:defRPr>
            </a:pPr>
            <a:endParaRPr lang="en-US"/>
          </a:p>
        </c:txPr>
        <c:crossAx val="274098320"/>
        <c:crosses val="autoZero"/>
        <c:crossBetween val="midCat"/>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39422887454383E-2"/>
          <c:y val="8.2638257659180009E-2"/>
          <c:w val="0.90107824359792865"/>
          <c:h val="0.76989524812499754"/>
        </c:manualLayout>
      </c:layout>
      <c:barChart>
        <c:barDir val="col"/>
        <c:grouping val="stacked"/>
        <c:varyColors val="0"/>
        <c:ser>
          <c:idx val="1"/>
          <c:order val="1"/>
          <c:tx>
            <c:strRef>
              <c:f>Processing!$C$126</c:f>
              <c:strCache>
                <c:ptCount val="1"/>
                <c:pt idx="0">
                  <c:v>indent</c:v>
                </c:pt>
              </c:strCache>
            </c:strRef>
          </c:tx>
          <c:spPr>
            <a:gradFill>
              <a:gsLst>
                <a:gs pos="0">
                  <a:srgbClr val="AADCD7">
                    <a:alpha val="20000"/>
                  </a:srgbClr>
                </a:gs>
                <a:gs pos="88000">
                  <a:srgbClr val="02C7B3"/>
                </a:gs>
              </a:gsLst>
              <a:lin ang="5400000" scaled="0"/>
            </a:gradFill>
            <a:ln>
              <a:noFill/>
            </a:ln>
            <a:effectLst/>
          </c:spPr>
          <c:invertIfNegative val="0"/>
          <c:cat>
            <c:strRef>
              <c:f>Processing!$A$127:$A$138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Processing!$C$127:$C$138</c:f>
              <c:numCache>
                <c:formatCode>General</c:formatCode>
                <c:ptCount val="12"/>
                <c:pt idx="0">
                  <c:v>172</c:v>
                </c:pt>
                <c:pt idx="1">
                  <c:v>199</c:v>
                </c:pt>
                <c:pt idx="2">
                  <c:v>158</c:v>
                </c:pt>
                <c:pt idx="3">
                  <c:v>155</c:v>
                </c:pt>
                <c:pt idx="4">
                  <c:v>168</c:v>
                </c:pt>
                <c:pt idx="5">
                  <c:v>125</c:v>
                </c:pt>
                <c:pt idx="6">
                  <c:v>195</c:v>
                </c:pt>
                <c:pt idx="7">
                  <c:v>202</c:v>
                </c:pt>
                <c:pt idx="8">
                  <c:v>118</c:v>
                </c:pt>
                <c:pt idx="9">
                  <c:v>200</c:v>
                </c:pt>
                <c:pt idx="10">
                  <c:v>189</c:v>
                </c:pt>
                <c:pt idx="11">
                  <c:v>222</c:v>
                </c:pt>
              </c:numCache>
            </c:numRef>
          </c:val>
          <c:extLst>
            <c:ext xmlns:c16="http://schemas.microsoft.com/office/drawing/2014/chart" uri="{C3380CC4-5D6E-409C-BE32-E72D297353CC}">
              <c16:uniqueId val="{00000000-6503-41EA-A855-F5156681117F}"/>
            </c:ext>
          </c:extLst>
        </c:ser>
        <c:dLbls>
          <c:showLegendKey val="0"/>
          <c:showVal val="0"/>
          <c:showCatName val="0"/>
          <c:showSerName val="0"/>
          <c:showPercent val="0"/>
          <c:showBubbleSize val="0"/>
        </c:dLbls>
        <c:gapWidth val="0"/>
        <c:overlap val="100"/>
        <c:axId val="1002875183"/>
        <c:axId val="1002884783"/>
      </c:barChart>
      <c:lineChart>
        <c:grouping val="standard"/>
        <c:varyColors val="0"/>
        <c:ser>
          <c:idx val="0"/>
          <c:order val="0"/>
          <c:tx>
            <c:strRef>
              <c:f>Processing!$B$126</c:f>
              <c:strCache>
                <c:ptCount val="1"/>
                <c:pt idx="0">
                  <c:v>QTY</c:v>
                </c:pt>
              </c:strCache>
            </c:strRef>
          </c:tx>
          <c:spPr>
            <a:ln w="38100" cap="rnd">
              <a:gradFill>
                <a:gsLst>
                  <a:gs pos="0">
                    <a:srgbClr val="8158DA"/>
                  </a:gs>
                  <a:gs pos="88000">
                    <a:srgbClr val="02C7B3"/>
                  </a:gs>
                </a:gsLst>
                <a:lin ang="5400000" scaled="1"/>
              </a:gradFill>
              <a:round/>
            </a:ln>
            <a:effectLst>
              <a:outerShdw blurRad="50800" dist="38100" dir="8100000" algn="tr" rotWithShape="0">
                <a:prstClr val="black">
                  <a:alpha val="40000"/>
                </a:prstClr>
              </a:outerShdw>
            </a:effectLst>
          </c:spPr>
          <c:marker>
            <c:symbol val="none"/>
          </c:marker>
          <c:cat>
            <c:strRef>
              <c:f>Processing!$A$127:$A$138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Processing!$B$127:$B$138</c:f>
              <c:numCache>
                <c:formatCode>General</c:formatCode>
                <c:ptCount val="12"/>
                <c:pt idx="0">
                  <c:v>172</c:v>
                </c:pt>
                <c:pt idx="1">
                  <c:v>199</c:v>
                </c:pt>
                <c:pt idx="2">
                  <c:v>158</c:v>
                </c:pt>
                <c:pt idx="3">
                  <c:v>155</c:v>
                </c:pt>
                <c:pt idx="4">
                  <c:v>168</c:v>
                </c:pt>
                <c:pt idx="5">
                  <c:v>125</c:v>
                </c:pt>
                <c:pt idx="6">
                  <c:v>195</c:v>
                </c:pt>
                <c:pt idx="7">
                  <c:v>202</c:v>
                </c:pt>
                <c:pt idx="8">
                  <c:v>118</c:v>
                </c:pt>
                <c:pt idx="9">
                  <c:v>200</c:v>
                </c:pt>
                <c:pt idx="10">
                  <c:v>189</c:v>
                </c:pt>
                <c:pt idx="11">
                  <c:v>222</c:v>
                </c:pt>
              </c:numCache>
            </c:numRef>
          </c:val>
          <c:smooth val="1"/>
          <c:extLst>
            <c:ext xmlns:c16="http://schemas.microsoft.com/office/drawing/2014/chart" uri="{C3380CC4-5D6E-409C-BE32-E72D297353CC}">
              <c16:uniqueId val="{00000001-6503-41EA-A855-F5156681117F}"/>
            </c:ext>
          </c:extLst>
        </c:ser>
        <c:dLbls>
          <c:showLegendKey val="0"/>
          <c:showVal val="0"/>
          <c:showCatName val="0"/>
          <c:showSerName val="0"/>
          <c:showPercent val="0"/>
          <c:showBubbleSize val="0"/>
        </c:dLbls>
        <c:marker val="1"/>
        <c:smooth val="0"/>
        <c:axId val="1002875183"/>
        <c:axId val="1002884783"/>
      </c:lineChart>
      <c:scatterChart>
        <c:scatterStyle val="lineMarker"/>
        <c:varyColors val="0"/>
        <c:ser>
          <c:idx val="2"/>
          <c:order val="2"/>
          <c:tx>
            <c:strRef>
              <c:f>Processing!$D$126</c:f>
              <c:strCache>
                <c:ptCount val="1"/>
                <c:pt idx="0">
                  <c:v>Marker</c:v>
                </c:pt>
              </c:strCache>
            </c:strRef>
          </c:tx>
          <c:spPr>
            <a:ln w="25400" cap="rnd">
              <a:noFill/>
              <a:round/>
            </a:ln>
            <a:effectLst/>
          </c:spPr>
          <c:marker>
            <c:symbol val="circle"/>
            <c:size val="7"/>
            <c:spPr>
              <a:solidFill>
                <a:srgbClr val="02C7B3"/>
              </a:solidFill>
              <a:ln w="9525">
                <a:solidFill>
                  <a:schemeClr val="bg1"/>
                </a:solidFill>
              </a:ln>
              <a:effectLst/>
            </c:spPr>
          </c:marker>
          <c:dLbls>
            <c:spPr>
              <a:solidFill>
                <a:srgbClr val="AADCD7">
                  <a:alpha val="50000"/>
                </a:srgbClr>
              </a:solidFill>
              <a:ln>
                <a:noFill/>
              </a:ln>
              <a:effectLst/>
            </c:spPr>
            <c:txPr>
              <a:bodyPr rot="0" spcFirstLastPara="1" vertOverflow="clip" horzOverflow="clip" vert="horz" wrap="square" lIns="36576" tIns="18288" rIns="36576" bIns="18288" anchor="ctr" anchorCtr="1">
                <a:spAutoFit/>
              </a:bodyPr>
              <a:lstStyle/>
              <a:p>
                <a:pPr>
                  <a:defRPr sz="8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Processing!$D$127:$D$138</c:f>
                <c:numCache>
                  <c:formatCode>General</c:formatCode>
                  <c:ptCount val="12"/>
                  <c:pt idx="0">
                    <c:v>172</c:v>
                  </c:pt>
                  <c:pt idx="1">
                    <c:v>199</c:v>
                  </c:pt>
                  <c:pt idx="2">
                    <c:v>158</c:v>
                  </c:pt>
                  <c:pt idx="3">
                    <c:v>155</c:v>
                  </c:pt>
                  <c:pt idx="4">
                    <c:v>168</c:v>
                  </c:pt>
                  <c:pt idx="5">
                    <c:v>125</c:v>
                  </c:pt>
                  <c:pt idx="6">
                    <c:v>195</c:v>
                  </c:pt>
                  <c:pt idx="7">
                    <c:v>202</c:v>
                  </c:pt>
                  <c:pt idx="8">
                    <c:v>118</c:v>
                  </c:pt>
                  <c:pt idx="9">
                    <c:v>200</c:v>
                  </c:pt>
                  <c:pt idx="10">
                    <c:v>189</c:v>
                  </c:pt>
                  <c:pt idx="11">
                    <c:v>222</c:v>
                  </c:pt>
                </c:numCache>
              </c:numRef>
            </c:minus>
            <c:spPr>
              <a:noFill/>
              <a:ln w="9525" cap="flat" cmpd="sng" algn="ctr">
                <a:solidFill>
                  <a:srgbClr val="AADCD7"/>
                </a:solidFill>
                <a:round/>
              </a:ln>
              <a:effectLst>
                <a:outerShdw blurRad="50800" dist="38100" dir="5400000" algn="t" rotWithShape="0">
                  <a:prstClr val="black">
                    <a:alpha val="40000"/>
                  </a:prstClr>
                </a:outerShdw>
              </a:effectLst>
            </c:spPr>
          </c:errBars>
          <c:xVal>
            <c:strRef>
              <c:f>Processing!$A$127:$A$138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Processing!$D$127:$D$138</c:f>
              <c:numCache>
                <c:formatCode>General</c:formatCode>
                <c:ptCount val="12"/>
                <c:pt idx="0">
                  <c:v>172</c:v>
                </c:pt>
                <c:pt idx="1">
                  <c:v>199</c:v>
                </c:pt>
                <c:pt idx="2">
                  <c:v>158</c:v>
                </c:pt>
                <c:pt idx="3">
                  <c:v>155</c:v>
                </c:pt>
                <c:pt idx="4">
                  <c:v>168</c:v>
                </c:pt>
                <c:pt idx="5">
                  <c:v>125</c:v>
                </c:pt>
                <c:pt idx="6">
                  <c:v>195</c:v>
                </c:pt>
                <c:pt idx="7">
                  <c:v>202</c:v>
                </c:pt>
                <c:pt idx="8">
                  <c:v>118</c:v>
                </c:pt>
                <c:pt idx="9">
                  <c:v>200</c:v>
                </c:pt>
                <c:pt idx="10">
                  <c:v>189</c:v>
                </c:pt>
                <c:pt idx="11">
                  <c:v>222</c:v>
                </c:pt>
              </c:numCache>
            </c:numRef>
          </c:yVal>
          <c:smooth val="0"/>
          <c:extLst>
            <c:ext xmlns:c16="http://schemas.microsoft.com/office/drawing/2014/chart" uri="{C3380CC4-5D6E-409C-BE32-E72D297353CC}">
              <c16:uniqueId val="{00000002-6503-41EA-A855-F5156681117F}"/>
            </c:ext>
          </c:extLst>
        </c:ser>
        <c:dLbls>
          <c:showLegendKey val="0"/>
          <c:showVal val="0"/>
          <c:showCatName val="0"/>
          <c:showSerName val="0"/>
          <c:showPercent val="0"/>
          <c:showBubbleSize val="0"/>
        </c:dLbls>
        <c:axId val="1002875183"/>
        <c:axId val="1002884783"/>
      </c:scatterChart>
      <c:catAx>
        <c:axId val="100287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545C8A"/>
                </a:solidFill>
                <a:latin typeface="+mn-lt"/>
                <a:ea typeface="+mn-ea"/>
                <a:cs typeface="+mn-cs"/>
              </a:defRPr>
            </a:pPr>
            <a:endParaRPr lang="en-US"/>
          </a:p>
        </c:txPr>
        <c:crossAx val="1002884783"/>
        <c:crosses val="autoZero"/>
        <c:auto val="1"/>
        <c:lblAlgn val="ctr"/>
        <c:lblOffset val="100"/>
        <c:noMultiLvlLbl val="0"/>
      </c:catAx>
      <c:valAx>
        <c:axId val="1002884783"/>
        <c:scaling>
          <c:orientation val="minMax"/>
        </c:scaling>
        <c:delete val="0"/>
        <c:axPos val="l"/>
        <c:majorGridlines>
          <c:spPr>
            <a:ln w="9525" cap="flat" cmpd="sng" algn="ctr">
              <a:solidFill>
                <a:srgbClr val="545C8A">
                  <a:alpha val="33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crossAx val="1002875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3794992175273865E-2"/>
          <c:y val="7.0278558650651676E-2"/>
          <c:w val="0.89241001564945222"/>
          <c:h val="0.9169435215946844"/>
        </c:manualLayout>
      </c:layout>
      <c:barChart>
        <c:barDir val="bar"/>
        <c:grouping val="clustered"/>
        <c:varyColors val="0"/>
        <c:ser>
          <c:idx val="0"/>
          <c:order val="0"/>
          <c:spPr>
            <a:solidFill>
              <a:schemeClr val="accent1"/>
            </a:solidFill>
            <a:ln w="104775">
              <a:gradFill>
                <a:gsLst>
                  <a:gs pos="0">
                    <a:srgbClr val="66FFFF"/>
                  </a:gs>
                  <a:gs pos="85000">
                    <a:srgbClr val="B72CEE"/>
                  </a:gs>
                </a:gsLst>
                <a:lin ang="5400000" scaled="0"/>
              </a:gradFill>
            </a:ln>
            <a:effectLst/>
          </c:spPr>
          <c:invertIfNegative val="0"/>
          <c:cat>
            <c:strRef>
              <c:f>Processing!$D$118:$D$122</c:f>
              <c:strCache>
                <c:ptCount val="5"/>
                <c:pt idx="0">
                  <c:v>Technology</c:v>
                </c:pt>
                <c:pt idx="1">
                  <c:v>Accessories</c:v>
                </c:pt>
                <c:pt idx="2">
                  <c:v>Office Supplies</c:v>
                </c:pt>
                <c:pt idx="3">
                  <c:v>Furniture</c:v>
                </c:pt>
                <c:pt idx="4">
                  <c:v>Appliances</c:v>
                </c:pt>
              </c:strCache>
            </c:strRef>
          </c:cat>
          <c:val>
            <c:numRef>
              <c:f>Processing!$E$118:$E$122</c:f>
              <c:numCache>
                <c:formatCode>_("$"* #\ ##0_);_("$"* \(#\ ##0\);_("$"* "-"??_);_(@_)</c:formatCode>
                <c:ptCount val="5"/>
                <c:pt idx="0">
                  <c:v>104424.49999999997</c:v>
                </c:pt>
                <c:pt idx="1">
                  <c:v>89198.9</c:v>
                </c:pt>
                <c:pt idx="2">
                  <c:v>88250.5</c:v>
                </c:pt>
                <c:pt idx="3">
                  <c:v>64075.950000000004</c:v>
                </c:pt>
                <c:pt idx="4">
                  <c:v>55714.75</c:v>
                </c:pt>
              </c:numCache>
            </c:numRef>
          </c:val>
          <c:extLst>
            <c:ext xmlns:c16="http://schemas.microsoft.com/office/drawing/2014/chart" uri="{C3380CC4-5D6E-409C-BE32-E72D297353CC}">
              <c16:uniqueId val="{00000000-5393-40CF-A5B9-664086D8521E}"/>
            </c:ext>
          </c:extLst>
        </c:ser>
        <c:dLbls>
          <c:showLegendKey val="0"/>
          <c:showVal val="0"/>
          <c:showCatName val="0"/>
          <c:showSerName val="0"/>
          <c:showPercent val="0"/>
          <c:showBubbleSize val="0"/>
        </c:dLbls>
        <c:gapWidth val="500"/>
        <c:axId val="1608354784"/>
        <c:axId val="1608356704"/>
      </c:barChart>
      <c:catAx>
        <c:axId val="1608354784"/>
        <c:scaling>
          <c:orientation val="maxMin"/>
        </c:scaling>
        <c:delete val="1"/>
        <c:axPos val="l"/>
        <c:numFmt formatCode="General" sourceLinked="1"/>
        <c:majorTickMark val="none"/>
        <c:minorTickMark val="none"/>
        <c:tickLblPos val="nextTo"/>
        <c:crossAx val="1608356704"/>
        <c:crosses val="autoZero"/>
        <c:auto val="1"/>
        <c:lblAlgn val="ctr"/>
        <c:lblOffset val="100"/>
        <c:noMultiLvlLbl val="0"/>
      </c:catAx>
      <c:valAx>
        <c:axId val="1608356704"/>
        <c:scaling>
          <c:orientation val="minMax"/>
        </c:scaling>
        <c:delete val="1"/>
        <c:axPos val="t"/>
        <c:numFmt formatCode="_(&quot;$&quot;* #\ ##0_);_(&quot;$&quot;* \(#\ ##0\);_(&quot;$&quot;* &quot;-&quot;??_);_(@_)" sourceLinked="1"/>
        <c:majorTickMark val="none"/>
        <c:minorTickMark val="none"/>
        <c:tickLblPos val="nextTo"/>
        <c:crossAx val="1608354784"/>
        <c:crosses val="autoZero"/>
        <c:crossBetween val="between"/>
      </c:valAx>
      <c:spPr>
        <a:noFill/>
        <a:ln>
          <a:noFill/>
        </a:ln>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tx>
            <c:strRef>
              <c:f>Processing!$G$142</c:f>
              <c:strCache>
                <c:ptCount val="1"/>
                <c:pt idx="0">
                  <c:v>Dia</c:v>
                </c:pt>
              </c:strCache>
            </c:strRef>
          </c:tx>
          <c:spPr>
            <a:gradFill>
              <a:gsLst>
                <a:gs pos="0">
                  <a:srgbClr val="44DEEE"/>
                </a:gs>
                <a:gs pos="90000">
                  <a:srgbClr val="5A45F4"/>
                </a:gs>
              </a:gsLst>
              <a:lin ang="5400000" scaled="0"/>
            </a:gradFill>
            <a:ln w="15875">
              <a:solidFill>
                <a:srgbClr val="0B3041"/>
              </a:solidFill>
            </a:ln>
          </c:spPr>
          <c:dPt>
            <c:idx val="0"/>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01-E3BD-458A-A2F9-6A0A122C914B}"/>
              </c:ext>
            </c:extLst>
          </c:dPt>
          <c:dPt>
            <c:idx val="1"/>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03-E3BD-458A-A2F9-6A0A122C914B}"/>
              </c:ext>
            </c:extLst>
          </c:dPt>
          <c:dPt>
            <c:idx val="2"/>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05-E3BD-458A-A2F9-6A0A122C914B}"/>
              </c:ext>
            </c:extLst>
          </c:dPt>
          <c:dPt>
            <c:idx val="3"/>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07-E3BD-458A-A2F9-6A0A122C914B}"/>
              </c:ext>
            </c:extLst>
          </c:dPt>
          <c:dPt>
            <c:idx val="4"/>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09-E3BD-458A-A2F9-6A0A122C914B}"/>
              </c:ext>
            </c:extLst>
          </c:dPt>
          <c:dPt>
            <c:idx val="5"/>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0B-E3BD-458A-A2F9-6A0A122C914B}"/>
              </c:ext>
            </c:extLst>
          </c:dPt>
          <c:dPt>
            <c:idx val="6"/>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0D-E3BD-458A-A2F9-6A0A122C914B}"/>
              </c:ext>
            </c:extLst>
          </c:dPt>
          <c:dPt>
            <c:idx val="7"/>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0F-E3BD-458A-A2F9-6A0A122C914B}"/>
              </c:ext>
            </c:extLst>
          </c:dPt>
          <c:dPt>
            <c:idx val="8"/>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11-E3BD-458A-A2F9-6A0A122C914B}"/>
              </c:ext>
            </c:extLst>
          </c:dPt>
          <c:dPt>
            <c:idx val="9"/>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13-E3BD-458A-A2F9-6A0A122C914B}"/>
              </c:ext>
            </c:extLst>
          </c:dPt>
          <c:dPt>
            <c:idx val="10"/>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15-E3BD-458A-A2F9-6A0A122C914B}"/>
              </c:ext>
            </c:extLst>
          </c:dPt>
          <c:dPt>
            <c:idx val="11"/>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17-E3BD-458A-A2F9-6A0A122C914B}"/>
              </c:ext>
            </c:extLst>
          </c:dPt>
          <c:dPt>
            <c:idx val="12"/>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19-E3BD-458A-A2F9-6A0A122C914B}"/>
              </c:ext>
            </c:extLst>
          </c:dPt>
          <c:dPt>
            <c:idx val="13"/>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1B-E3BD-458A-A2F9-6A0A122C914B}"/>
              </c:ext>
            </c:extLst>
          </c:dPt>
          <c:dPt>
            <c:idx val="14"/>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1D-E3BD-458A-A2F9-6A0A122C914B}"/>
              </c:ext>
            </c:extLst>
          </c:dPt>
          <c:dPt>
            <c:idx val="15"/>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1F-E3BD-458A-A2F9-6A0A122C914B}"/>
              </c:ext>
            </c:extLst>
          </c:dPt>
          <c:dPt>
            <c:idx val="16"/>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21-E3BD-458A-A2F9-6A0A122C914B}"/>
              </c:ext>
            </c:extLst>
          </c:dPt>
          <c:dPt>
            <c:idx val="17"/>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23-E3BD-458A-A2F9-6A0A122C914B}"/>
              </c:ext>
            </c:extLst>
          </c:dPt>
          <c:dPt>
            <c:idx val="18"/>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25-E3BD-458A-A2F9-6A0A122C914B}"/>
              </c:ext>
            </c:extLst>
          </c:dPt>
          <c:dPt>
            <c:idx val="19"/>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27-E3BD-458A-A2F9-6A0A122C914B}"/>
              </c:ext>
            </c:extLst>
          </c:dPt>
          <c:dPt>
            <c:idx val="20"/>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29-E3BD-458A-A2F9-6A0A122C914B}"/>
              </c:ext>
            </c:extLst>
          </c:dPt>
          <c:dPt>
            <c:idx val="21"/>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2B-E3BD-458A-A2F9-6A0A122C914B}"/>
              </c:ext>
            </c:extLst>
          </c:dPt>
          <c:dPt>
            <c:idx val="22"/>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2D-E3BD-458A-A2F9-6A0A122C914B}"/>
              </c:ext>
            </c:extLst>
          </c:dPt>
          <c:dPt>
            <c:idx val="23"/>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2F-E3BD-458A-A2F9-6A0A122C914B}"/>
              </c:ext>
            </c:extLst>
          </c:dPt>
          <c:dPt>
            <c:idx val="24"/>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31-E3BD-458A-A2F9-6A0A122C914B}"/>
              </c:ext>
            </c:extLst>
          </c:dPt>
          <c:dPt>
            <c:idx val="25"/>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33-E3BD-458A-A2F9-6A0A122C914B}"/>
              </c:ext>
            </c:extLst>
          </c:dPt>
          <c:dPt>
            <c:idx val="26"/>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35-E3BD-458A-A2F9-6A0A122C914B}"/>
              </c:ext>
            </c:extLst>
          </c:dPt>
          <c:dPt>
            <c:idx val="27"/>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37-E3BD-458A-A2F9-6A0A122C914B}"/>
              </c:ext>
            </c:extLst>
          </c:dPt>
          <c:dPt>
            <c:idx val="28"/>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39-E3BD-458A-A2F9-6A0A122C914B}"/>
              </c:ext>
            </c:extLst>
          </c:dPt>
          <c:dPt>
            <c:idx val="29"/>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3B-E3BD-458A-A2F9-6A0A122C914B}"/>
              </c:ext>
            </c:extLst>
          </c:dPt>
          <c:dPt>
            <c:idx val="30"/>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3D-E3BD-458A-A2F9-6A0A122C914B}"/>
              </c:ext>
            </c:extLst>
          </c:dPt>
          <c:dPt>
            <c:idx val="31"/>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3F-E3BD-458A-A2F9-6A0A122C914B}"/>
              </c:ext>
            </c:extLst>
          </c:dPt>
          <c:dPt>
            <c:idx val="32"/>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41-E3BD-458A-A2F9-6A0A122C914B}"/>
              </c:ext>
            </c:extLst>
          </c:dPt>
          <c:dPt>
            <c:idx val="33"/>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43-E3BD-458A-A2F9-6A0A122C914B}"/>
              </c:ext>
            </c:extLst>
          </c:dPt>
          <c:dPt>
            <c:idx val="34"/>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45-E3BD-458A-A2F9-6A0A122C914B}"/>
              </c:ext>
            </c:extLst>
          </c:dPt>
          <c:dPt>
            <c:idx val="35"/>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47-E3BD-458A-A2F9-6A0A122C914B}"/>
              </c:ext>
            </c:extLst>
          </c:dPt>
          <c:dPt>
            <c:idx val="36"/>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49-E3BD-458A-A2F9-6A0A122C914B}"/>
              </c:ext>
            </c:extLst>
          </c:dPt>
          <c:dPt>
            <c:idx val="37"/>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4B-E3BD-458A-A2F9-6A0A122C914B}"/>
              </c:ext>
            </c:extLst>
          </c:dPt>
          <c:dPt>
            <c:idx val="38"/>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4D-E3BD-458A-A2F9-6A0A122C914B}"/>
              </c:ext>
            </c:extLst>
          </c:dPt>
          <c:dPt>
            <c:idx val="39"/>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4F-E3BD-458A-A2F9-6A0A122C914B}"/>
              </c:ext>
            </c:extLst>
          </c:dPt>
          <c:dPt>
            <c:idx val="40"/>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51-E3BD-458A-A2F9-6A0A122C914B}"/>
              </c:ext>
            </c:extLst>
          </c:dPt>
          <c:dPt>
            <c:idx val="41"/>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53-E3BD-458A-A2F9-6A0A122C914B}"/>
              </c:ext>
            </c:extLst>
          </c:dPt>
          <c:dPt>
            <c:idx val="42"/>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55-E3BD-458A-A2F9-6A0A122C914B}"/>
              </c:ext>
            </c:extLst>
          </c:dPt>
          <c:dPt>
            <c:idx val="43"/>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57-E3BD-458A-A2F9-6A0A122C914B}"/>
              </c:ext>
            </c:extLst>
          </c:dPt>
          <c:dPt>
            <c:idx val="44"/>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59-E3BD-458A-A2F9-6A0A122C914B}"/>
              </c:ext>
            </c:extLst>
          </c:dPt>
          <c:dPt>
            <c:idx val="45"/>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5B-E3BD-458A-A2F9-6A0A122C914B}"/>
              </c:ext>
            </c:extLst>
          </c:dPt>
          <c:dPt>
            <c:idx val="46"/>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5D-E3BD-458A-A2F9-6A0A122C914B}"/>
              </c:ext>
            </c:extLst>
          </c:dPt>
          <c:dPt>
            <c:idx val="47"/>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5F-E3BD-458A-A2F9-6A0A122C914B}"/>
              </c:ext>
            </c:extLst>
          </c:dPt>
          <c:dPt>
            <c:idx val="48"/>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61-E3BD-458A-A2F9-6A0A122C914B}"/>
              </c:ext>
            </c:extLst>
          </c:dPt>
          <c:dPt>
            <c:idx val="49"/>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63-E3BD-458A-A2F9-6A0A122C914B}"/>
              </c:ext>
            </c:extLst>
          </c:dPt>
          <c:dPt>
            <c:idx val="50"/>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65-E3BD-458A-A2F9-6A0A122C914B}"/>
              </c:ext>
            </c:extLst>
          </c:dPt>
          <c:dPt>
            <c:idx val="51"/>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67-E3BD-458A-A2F9-6A0A122C914B}"/>
              </c:ext>
            </c:extLst>
          </c:dPt>
          <c:dPt>
            <c:idx val="52"/>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69-E3BD-458A-A2F9-6A0A122C914B}"/>
              </c:ext>
            </c:extLst>
          </c:dPt>
          <c:dPt>
            <c:idx val="53"/>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6B-E3BD-458A-A2F9-6A0A122C914B}"/>
              </c:ext>
            </c:extLst>
          </c:dPt>
          <c:dPt>
            <c:idx val="54"/>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6D-E3BD-458A-A2F9-6A0A122C914B}"/>
              </c:ext>
            </c:extLst>
          </c:dPt>
          <c:dPt>
            <c:idx val="55"/>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6F-E3BD-458A-A2F9-6A0A122C914B}"/>
              </c:ext>
            </c:extLst>
          </c:dPt>
          <c:dPt>
            <c:idx val="56"/>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71-E3BD-458A-A2F9-6A0A122C914B}"/>
              </c:ext>
            </c:extLst>
          </c:dPt>
          <c:dPt>
            <c:idx val="57"/>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73-E3BD-458A-A2F9-6A0A122C914B}"/>
              </c:ext>
            </c:extLst>
          </c:dPt>
          <c:dPt>
            <c:idx val="58"/>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75-E3BD-458A-A2F9-6A0A122C914B}"/>
              </c:ext>
            </c:extLst>
          </c:dPt>
          <c:dPt>
            <c:idx val="59"/>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77-E3BD-458A-A2F9-6A0A122C914B}"/>
              </c:ext>
            </c:extLst>
          </c:dPt>
          <c:dPt>
            <c:idx val="60"/>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79-E3BD-458A-A2F9-6A0A122C914B}"/>
              </c:ext>
            </c:extLst>
          </c:dPt>
          <c:dPt>
            <c:idx val="61"/>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7B-E3BD-458A-A2F9-6A0A122C914B}"/>
              </c:ext>
            </c:extLst>
          </c:dPt>
          <c:dPt>
            <c:idx val="62"/>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7D-E3BD-458A-A2F9-6A0A122C914B}"/>
              </c:ext>
            </c:extLst>
          </c:dPt>
          <c:dPt>
            <c:idx val="63"/>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7F-E3BD-458A-A2F9-6A0A122C914B}"/>
              </c:ext>
            </c:extLst>
          </c:dPt>
          <c:dPt>
            <c:idx val="64"/>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81-E3BD-458A-A2F9-6A0A122C914B}"/>
              </c:ext>
            </c:extLst>
          </c:dPt>
          <c:dPt>
            <c:idx val="65"/>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83-E3BD-458A-A2F9-6A0A122C914B}"/>
              </c:ext>
            </c:extLst>
          </c:dPt>
          <c:dPt>
            <c:idx val="66"/>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85-E3BD-458A-A2F9-6A0A122C914B}"/>
              </c:ext>
            </c:extLst>
          </c:dPt>
          <c:dPt>
            <c:idx val="67"/>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87-E3BD-458A-A2F9-6A0A122C914B}"/>
              </c:ext>
            </c:extLst>
          </c:dPt>
          <c:dPt>
            <c:idx val="68"/>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89-E3BD-458A-A2F9-6A0A122C914B}"/>
              </c:ext>
            </c:extLst>
          </c:dPt>
          <c:dPt>
            <c:idx val="69"/>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8B-E3BD-458A-A2F9-6A0A122C914B}"/>
              </c:ext>
            </c:extLst>
          </c:dPt>
          <c:dPt>
            <c:idx val="70"/>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8D-E3BD-458A-A2F9-6A0A122C914B}"/>
              </c:ext>
            </c:extLst>
          </c:dPt>
          <c:dPt>
            <c:idx val="71"/>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8F-E3BD-458A-A2F9-6A0A122C914B}"/>
              </c:ext>
            </c:extLst>
          </c:dPt>
          <c:dPt>
            <c:idx val="72"/>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91-E3BD-458A-A2F9-6A0A122C914B}"/>
              </c:ext>
            </c:extLst>
          </c:dPt>
          <c:dPt>
            <c:idx val="73"/>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93-E3BD-458A-A2F9-6A0A122C914B}"/>
              </c:ext>
            </c:extLst>
          </c:dPt>
          <c:dPt>
            <c:idx val="74"/>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95-E3BD-458A-A2F9-6A0A122C914B}"/>
              </c:ext>
            </c:extLst>
          </c:dPt>
          <c:dPt>
            <c:idx val="75"/>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97-E3BD-458A-A2F9-6A0A122C914B}"/>
              </c:ext>
            </c:extLst>
          </c:dPt>
          <c:dPt>
            <c:idx val="76"/>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99-E3BD-458A-A2F9-6A0A122C914B}"/>
              </c:ext>
            </c:extLst>
          </c:dPt>
          <c:dPt>
            <c:idx val="77"/>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9B-E3BD-458A-A2F9-6A0A122C914B}"/>
              </c:ext>
            </c:extLst>
          </c:dPt>
          <c:dPt>
            <c:idx val="78"/>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9D-E3BD-458A-A2F9-6A0A122C914B}"/>
              </c:ext>
            </c:extLst>
          </c:dPt>
          <c:dPt>
            <c:idx val="79"/>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9F-E3BD-458A-A2F9-6A0A122C914B}"/>
              </c:ext>
            </c:extLst>
          </c:dPt>
          <c:dPt>
            <c:idx val="80"/>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A1-E3BD-458A-A2F9-6A0A122C914B}"/>
              </c:ext>
            </c:extLst>
          </c:dPt>
          <c:dPt>
            <c:idx val="81"/>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A3-E3BD-458A-A2F9-6A0A122C914B}"/>
              </c:ext>
            </c:extLst>
          </c:dPt>
          <c:dPt>
            <c:idx val="82"/>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A5-E3BD-458A-A2F9-6A0A122C914B}"/>
              </c:ext>
            </c:extLst>
          </c:dPt>
          <c:dPt>
            <c:idx val="83"/>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A7-E3BD-458A-A2F9-6A0A122C914B}"/>
              </c:ext>
            </c:extLst>
          </c:dPt>
          <c:dPt>
            <c:idx val="84"/>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A9-E3BD-458A-A2F9-6A0A122C914B}"/>
              </c:ext>
            </c:extLst>
          </c:dPt>
          <c:dPt>
            <c:idx val="85"/>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AB-E3BD-458A-A2F9-6A0A122C914B}"/>
              </c:ext>
            </c:extLst>
          </c:dPt>
          <c:dPt>
            <c:idx val="86"/>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AD-E3BD-458A-A2F9-6A0A122C914B}"/>
              </c:ext>
            </c:extLst>
          </c:dPt>
          <c:dPt>
            <c:idx val="87"/>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AF-E3BD-458A-A2F9-6A0A122C914B}"/>
              </c:ext>
            </c:extLst>
          </c:dPt>
          <c:dPt>
            <c:idx val="88"/>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B1-E3BD-458A-A2F9-6A0A122C914B}"/>
              </c:ext>
            </c:extLst>
          </c:dPt>
          <c:dPt>
            <c:idx val="89"/>
            <c:bubble3D val="0"/>
            <c:spPr>
              <a:gradFill>
                <a:gsLst>
                  <a:gs pos="0">
                    <a:srgbClr val="44DEEE"/>
                  </a:gs>
                  <a:gs pos="90000">
                    <a:srgbClr val="5A45F4"/>
                  </a:gs>
                </a:gsLst>
                <a:lin ang="5400000" scaled="0"/>
              </a:gradFill>
              <a:ln w="15875">
                <a:solidFill>
                  <a:srgbClr val="0B3041"/>
                </a:solidFill>
              </a:ln>
              <a:effectLst/>
            </c:spPr>
            <c:extLst>
              <c:ext xmlns:c16="http://schemas.microsoft.com/office/drawing/2014/chart" uri="{C3380CC4-5D6E-409C-BE32-E72D297353CC}">
                <c16:uniqueId val="{000000B3-E3BD-458A-A2F9-6A0A122C914B}"/>
              </c:ext>
            </c:extLst>
          </c:dPt>
          <c:val>
            <c:numRef>
              <c:f>Processing!$G$143:$G$232</c:f>
              <c:numCache>
                <c:formatCode>General</c:formatCode>
                <c:ptCount val="9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numCache>
            </c:numRef>
          </c:val>
          <c:extLst>
            <c:ext xmlns:c16="http://schemas.microsoft.com/office/drawing/2014/chart" uri="{C3380CC4-5D6E-409C-BE32-E72D297353CC}">
              <c16:uniqueId val="{000000B4-E3BD-458A-A2F9-6A0A122C914B}"/>
            </c:ext>
          </c:extLst>
        </c:ser>
        <c:dLbls>
          <c:showLegendKey val="0"/>
          <c:showVal val="0"/>
          <c:showCatName val="0"/>
          <c:showSerName val="0"/>
          <c:showPercent val="0"/>
          <c:showBubbleSize val="0"/>
          <c:showLeaderLines val="1"/>
        </c:dLbls>
        <c:firstSliceAng val="0"/>
        <c:holeSize val="73"/>
      </c:doughnutChart>
      <c:doughnutChart>
        <c:varyColors val="1"/>
        <c:ser>
          <c:idx val="0"/>
          <c:order val="1"/>
          <c:spPr>
            <a:ln>
              <a:noFill/>
            </a:ln>
          </c:spPr>
          <c:dPt>
            <c:idx val="0"/>
            <c:bubble3D val="0"/>
            <c:spPr>
              <a:noFill/>
              <a:ln>
                <a:noFill/>
              </a:ln>
            </c:spPr>
            <c:extLst>
              <c:ext xmlns:c16="http://schemas.microsoft.com/office/drawing/2014/chart" uri="{C3380CC4-5D6E-409C-BE32-E72D297353CC}">
                <c16:uniqueId val="{000000B6-E3BD-458A-A2F9-6A0A122C914B}"/>
              </c:ext>
            </c:extLst>
          </c:dPt>
          <c:dPt>
            <c:idx val="1"/>
            <c:bubble3D val="0"/>
            <c:spPr>
              <a:solidFill>
                <a:schemeClr val="tx1">
                  <a:alpha val="70000"/>
                </a:schemeClr>
              </a:solidFill>
              <a:ln>
                <a:noFill/>
              </a:ln>
            </c:spPr>
            <c:extLst>
              <c:ext xmlns:c16="http://schemas.microsoft.com/office/drawing/2014/chart" uri="{C3380CC4-5D6E-409C-BE32-E72D297353CC}">
                <c16:uniqueId val="{000000B8-E3BD-458A-A2F9-6A0A122C914B}"/>
              </c:ext>
            </c:extLst>
          </c:dPt>
          <c:val>
            <c:numRef>
              <c:f>Processing!$A$142:$B$142</c:f>
              <c:numCache>
                <c:formatCode>0%</c:formatCode>
                <c:ptCount val="2"/>
                <c:pt idx="0">
                  <c:v>0.20364000000000007</c:v>
                </c:pt>
                <c:pt idx="1">
                  <c:v>0.79635999999999996</c:v>
                </c:pt>
              </c:numCache>
            </c:numRef>
          </c:val>
          <c:extLst>
            <c:ext xmlns:c16="http://schemas.microsoft.com/office/drawing/2014/chart" uri="{C3380CC4-5D6E-409C-BE32-E72D297353CC}">
              <c16:uniqueId val="{000000B9-E3BD-458A-A2F9-6A0A122C914B}"/>
            </c:ext>
          </c:extLst>
        </c:ser>
        <c:dLbls>
          <c:showLegendKey val="0"/>
          <c:showVal val="0"/>
          <c:showCatName val="0"/>
          <c:showSerName val="0"/>
          <c:showPercent val="0"/>
          <c:showBubbleSize val="0"/>
          <c:showLeaderLines val="1"/>
        </c:dLbls>
        <c:firstSliceAng val="0"/>
        <c:holeSize val="73"/>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50384">
                  <a:srgbClr val="BCC6FF"/>
                </a:gs>
                <a:gs pos="0">
                  <a:srgbClr val="6494DA"/>
                </a:gs>
                <a:gs pos="94000">
                  <a:srgbClr val="2F6EC7"/>
                </a:gs>
              </a:gsLst>
              <a:lin ang="5400000" scaled="1"/>
            </a:gradFill>
            <a:ln>
              <a:noFill/>
            </a:ln>
            <a:effectLst>
              <a:outerShdw blurRad="50800" dist="38100" dir="8100000" algn="tr" rotWithShape="0">
                <a:prstClr val="black">
                  <a:alpha val="40000"/>
                </a:prstClr>
              </a:outerShdw>
            </a:effectLst>
          </c:spPr>
          <c:dPt>
            <c:idx val="0"/>
            <c:bubble3D val="0"/>
            <c:spPr>
              <a:gradFill>
                <a:gsLst>
                  <a:gs pos="0">
                    <a:srgbClr val="09C3F2"/>
                  </a:gs>
                  <a:gs pos="100000">
                    <a:srgbClr val="06D3D9"/>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AA9F-4973-9C44-60C1DCC8ACEE}"/>
              </c:ext>
            </c:extLst>
          </c:dPt>
          <c:dPt>
            <c:idx val="1"/>
            <c:bubble3D val="0"/>
            <c:spPr>
              <a:gradFill>
                <a:gsLst>
                  <a:gs pos="0">
                    <a:srgbClr val="2C71E7"/>
                  </a:gs>
                  <a:gs pos="100000">
                    <a:srgbClr val="2373DF"/>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AA9F-4973-9C44-60C1DCC8ACEE}"/>
              </c:ext>
            </c:extLst>
          </c:dPt>
          <c:val>
            <c:numRef>
              <c:f>Processing!$C$145:$C$146</c:f>
              <c:numCache>
                <c:formatCode>0%</c:formatCode>
                <c:ptCount val="2"/>
                <c:pt idx="0">
                  <c:v>0.24124132422922007</c:v>
                </c:pt>
                <c:pt idx="1">
                  <c:v>0.75875867577077982</c:v>
                </c:pt>
              </c:numCache>
            </c:numRef>
          </c:val>
          <c:extLst>
            <c:ext xmlns:c16="http://schemas.microsoft.com/office/drawing/2014/chart" uri="{C3380CC4-5D6E-409C-BE32-E72D297353CC}">
              <c16:uniqueId val="{00000004-AA9F-4973-9C44-60C1DCC8ACEE}"/>
            </c:ext>
          </c:extLst>
        </c:ser>
        <c:dLbls>
          <c:showLegendKey val="0"/>
          <c:showVal val="0"/>
          <c:showCatName val="0"/>
          <c:showSerName val="0"/>
          <c:showPercent val="0"/>
          <c:showBubbleSize val="0"/>
          <c:showLeaderLines val="1"/>
        </c:dLbls>
        <c:firstSliceAng val="0"/>
        <c:holeSize val="75"/>
      </c:doughnutChart>
      <c:scatterChart>
        <c:scatterStyle val="lineMarker"/>
        <c:varyColors val="0"/>
        <c:ser>
          <c:idx val="1"/>
          <c:order val="1"/>
          <c:tx>
            <c:v>XY</c:v>
          </c:tx>
          <c:spPr>
            <a:ln w="25400" cap="rnd">
              <a:noFill/>
              <a:round/>
            </a:ln>
            <a:effectLst/>
          </c:spPr>
          <c:marker>
            <c:symbol val="circle"/>
            <c:size val="13"/>
            <c:spPr>
              <a:solidFill>
                <a:srgbClr val="09C3F2"/>
              </a:solidFill>
              <a:ln w="9525">
                <a:noFill/>
              </a:ln>
              <a:effectLst/>
            </c:spPr>
          </c:marker>
          <c:dPt>
            <c:idx val="1"/>
            <c:marker>
              <c:symbol val="circle"/>
              <c:size val="13"/>
              <c:spPr>
                <a:solidFill>
                  <a:srgbClr val="06D3D9"/>
                </a:solidFill>
                <a:ln w="9525">
                  <a:noFill/>
                </a:ln>
                <a:effectLst/>
              </c:spPr>
            </c:marker>
            <c:bubble3D val="0"/>
            <c:extLst>
              <c:ext xmlns:c16="http://schemas.microsoft.com/office/drawing/2014/chart" uri="{C3380CC4-5D6E-409C-BE32-E72D297353CC}">
                <c16:uniqueId val="{00000005-AA9F-4973-9C44-60C1DCC8ACEE}"/>
              </c:ext>
            </c:extLst>
          </c:dPt>
          <c:xVal>
            <c:numRef>
              <c:f>Processing!$A$151:$A$152</c:f>
              <c:numCache>
                <c:formatCode>General</c:formatCode>
                <c:ptCount val="2"/>
                <c:pt idx="0">
                  <c:v>0</c:v>
                </c:pt>
                <c:pt idx="1">
                  <c:v>0.9984861005516481</c:v>
                </c:pt>
              </c:numCache>
            </c:numRef>
          </c:xVal>
          <c:yVal>
            <c:numRef>
              <c:f>Processing!$B$151:$B$152</c:f>
              <c:numCache>
                <c:formatCode>General</c:formatCode>
                <c:ptCount val="2"/>
                <c:pt idx="0">
                  <c:v>1</c:v>
                </c:pt>
                <c:pt idx="1">
                  <c:v>5.5004608944740921E-2</c:v>
                </c:pt>
              </c:numCache>
            </c:numRef>
          </c:yVal>
          <c:smooth val="0"/>
          <c:extLst>
            <c:ext xmlns:c16="http://schemas.microsoft.com/office/drawing/2014/chart" uri="{C3380CC4-5D6E-409C-BE32-E72D297353CC}">
              <c16:uniqueId val="{00000006-AA9F-4973-9C44-60C1DCC8ACEE}"/>
            </c:ext>
          </c:extLst>
        </c:ser>
        <c:dLbls>
          <c:showLegendKey val="0"/>
          <c:showVal val="0"/>
          <c:showCatName val="0"/>
          <c:showSerName val="0"/>
          <c:showPercent val="0"/>
          <c:showBubbleSize val="0"/>
        </c:dLbls>
        <c:axId val="1214836208"/>
        <c:axId val="1214847248"/>
      </c:scatterChart>
      <c:valAx>
        <c:axId val="1214847248"/>
        <c:scaling>
          <c:orientation val="minMax"/>
          <c:max val="1.1500000000000001"/>
          <c:min val="-1.1400000000000001"/>
        </c:scaling>
        <c:delete val="1"/>
        <c:axPos val="l"/>
        <c:numFmt formatCode="General" sourceLinked="1"/>
        <c:majorTickMark val="out"/>
        <c:minorTickMark val="none"/>
        <c:tickLblPos val="nextTo"/>
        <c:crossAx val="1214836208"/>
        <c:crosses val="autoZero"/>
        <c:crossBetween val="midCat"/>
      </c:valAx>
      <c:valAx>
        <c:axId val="1214836208"/>
        <c:scaling>
          <c:orientation val="minMax"/>
          <c:max val="1.1400000000000001"/>
          <c:min val="-1.1500000000000001"/>
        </c:scaling>
        <c:delete val="1"/>
        <c:axPos val="t"/>
        <c:numFmt formatCode="General" sourceLinked="1"/>
        <c:majorTickMark val="out"/>
        <c:minorTickMark val="none"/>
        <c:tickLblPos val="nextTo"/>
        <c:crossAx val="1214847248"/>
        <c:crosses val="max"/>
        <c:crossBetween val="midCat"/>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fmlaLink="Processing!$D$32" lockText="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hyperlink" Target="#Operations!A1"/><Relationship Id="rId3" Type="http://schemas.openxmlformats.org/officeDocument/2006/relationships/chart" Target="../charts/chart4.xml"/><Relationship Id="rId7" Type="http://schemas.openxmlformats.org/officeDocument/2006/relationships/chart" Target="../charts/chart8.xml"/><Relationship Id="rId12" Type="http://schemas.openxmlformats.org/officeDocument/2006/relationships/hyperlink" Target="#Profitability!A1"/><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hyperlink" Target="#Dashboard!A1"/><Relationship Id="rId5" Type="http://schemas.openxmlformats.org/officeDocument/2006/relationships/chart" Target="../charts/chart6.xml"/><Relationship Id="rId15" Type="http://schemas.openxmlformats.org/officeDocument/2006/relationships/hyperlink" Target="#Insights!A1"/><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hyperlink" Target="#Dataset!A1"/></Relationships>
</file>

<file path=xl/drawings/_rels/drawing3.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hyperlink" Target="#Insights!A1"/><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hyperlink" Target="#Dataset!A1"/><Relationship Id="rId5" Type="http://schemas.openxmlformats.org/officeDocument/2006/relationships/chart" Target="../charts/chart16.xml"/><Relationship Id="rId10" Type="http://schemas.openxmlformats.org/officeDocument/2006/relationships/hyperlink" Target="#Operations!A1"/><Relationship Id="rId4" Type="http://schemas.openxmlformats.org/officeDocument/2006/relationships/chart" Target="../charts/chart15.xml"/><Relationship Id="rId9" Type="http://schemas.openxmlformats.org/officeDocument/2006/relationships/hyperlink" Target="#Profitability!A1"/></Relationships>
</file>

<file path=xl/drawings/_rels/drawing4.xml.rels><?xml version="1.0" encoding="UTF-8" standalone="yes"?>
<Relationships xmlns="http://schemas.openxmlformats.org/package/2006/relationships"><Relationship Id="rId8" Type="http://schemas.openxmlformats.org/officeDocument/2006/relationships/chart" Target="../charts/chart26.xml"/><Relationship Id="rId13" Type="http://schemas.openxmlformats.org/officeDocument/2006/relationships/hyperlink" Target="#Insights!A1"/><Relationship Id="rId3" Type="http://schemas.openxmlformats.org/officeDocument/2006/relationships/chart" Target="../charts/chart21.xml"/><Relationship Id="rId7" Type="http://schemas.openxmlformats.org/officeDocument/2006/relationships/chart" Target="../charts/chart25.xml"/><Relationship Id="rId12" Type="http://schemas.openxmlformats.org/officeDocument/2006/relationships/hyperlink" Target="#Dataset!A1"/><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11" Type="http://schemas.openxmlformats.org/officeDocument/2006/relationships/hyperlink" Target="#Operations!A1"/><Relationship Id="rId5" Type="http://schemas.openxmlformats.org/officeDocument/2006/relationships/chart" Target="../charts/chart23.xml"/><Relationship Id="rId10" Type="http://schemas.openxmlformats.org/officeDocument/2006/relationships/hyperlink" Target="#Profitability!A1"/><Relationship Id="rId4" Type="http://schemas.openxmlformats.org/officeDocument/2006/relationships/chart" Target="../charts/chart22.xml"/><Relationship Id="rId9"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hyperlink" Target="#Operations!A1"/><Relationship Id="rId2" Type="http://schemas.openxmlformats.org/officeDocument/2006/relationships/hyperlink" Target="#Profitability!A1"/><Relationship Id="rId1" Type="http://schemas.openxmlformats.org/officeDocument/2006/relationships/hyperlink" Target="#Dashboard!A1"/><Relationship Id="rId5" Type="http://schemas.openxmlformats.org/officeDocument/2006/relationships/hyperlink" Target="#Insights!A1"/><Relationship Id="rId4" Type="http://schemas.openxmlformats.org/officeDocument/2006/relationships/hyperlink" Target="#Dataset!A1"/></Relationships>
</file>

<file path=xl/drawings/drawing1.xml><?xml version="1.0" encoding="utf-8"?>
<xdr:wsDr xmlns:xdr="http://schemas.openxmlformats.org/drawingml/2006/spreadsheetDrawing" xmlns:a="http://schemas.openxmlformats.org/drawingml/2006/main">
  <xdr:twoCellAnchor>
    <xdr:from>
      <xdr:col>4</xdr:col>
      <xdr:colOff>482367</xdr:colOff>
      <xdr:row>16</xdr:row>
      <xdr:rowOff>55926</xdr:rowOff>
    </xdr:from>
    <xdr:to>
      <xdr:col>10</xdr:col>
      <xdr:colOff>151528</xdr:colOff>
      <xdr:row>25</xdr:row>
      <xdr:rowOff>507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0</xdr:colOff>
      <xdr:row>37</xdr:row>
      <xdr:rowOff>91440</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0" y="0"/>
          <a:ext cx="12192000" cy="6858000"/>
        </a:xfrm>
        <a:prstGeom prst="rect">
          <a:avLst/>
        </a:prstGeom>
        <a:solidFill>
          <a:srgbClr val="04040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0</xdr:colOff>
      <xdr:row>0</xdr:row>
      <xdr:rowOff>0</xdr:rowOff>
    </xdr:from>
    <xdr:to>
      <xdr:col>23</xdr:col>
      <xdr:colOff>304800</xdr:colOff>
      <xdr:row>40</xdr:row>
      <xdr:rowOff>21365</xdr:rowOff>
    </xdr:to>
    <xdr:sp macro="" textlink="">
      <xdr:nvSpPr>
        <xdr:cNvPr id="4" name="Rectangle 3">
          <a:extLst>
            <a:ext uri="{FF2B5EF4-FFF2-40B4-BE49-F238E27FC236}">
              <a16:creationId xmlns:a16="http://schemas.microsoft.com/office/drawing/2014/main" id="{00000000-0008-0000-0200-000004000000}"/>
            </a:ext>
          </a:extLst>
        </xdr:cNvPr>
        <xdr:cNvSpPr/>
      </xdr:nvSpPr>
      <xdr:spPr>
        <a:xfrm>
          <a:off x="0" y="0"/>
          <a:ext cx="14391118" cy="7427720"/>
        </a:xfrm>
        <a:prstGeom prst="rect">
          <a:avLst/>
        </a:prstGeom>
        <a:gradFill flip="none" rotWithShape="1">
          <a:gsLst>
            <a:gs pos="5000">
              <a:srgbClr val="5B208C"/>
            </a:gs>
            <a:gs pos="38000">
              <a:srgbClr val="04040F"/>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122105</xdr:colOff>
      <xdr:row>1</xdr:row>
      <xdr:rowOff>53793</xdr:rowOff>
    </xdr:from>
    <xdr:to>
      <xdr:col>21</xdr:col>
      <xdr:colOff>235010</xdr:colOff>
      <xdr:row>36</xdr:row>
      <xdr:rowOff>111853</xdr:rowOff>
    </xdr:to>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122105" y="235554"/>
          <a:ext cx="12885144" cy="6419712"/>
        </a:xfrm>
        <a:prstGeom prst="roundRect">
          <a:avLst>
            <a:gd name="adj" fmla="val 5451"/>
          </a:avLst>
        </a:prstGeom>
        <a:gradFill flip="none" rotWithShape="1">
          <a:gsLst>
            <a:gs pos="0">
              <a:srgbClr val="1F0B2F"/>
            </a:gs>
            <a:gs pos="95000">
              <a:srgbClr val="171723"/>
            </a:gs>
          </a:gsLst>
          <a:lin ang="2700000" scaled="0"/>
          <a:tileRect/>
        </a:gradFill>
        <a:ln w="12700">
          <a:gradFill>
            <a:gsLst>
              <a:gs pos="0">
                <a:schemeClr val="bg1"/>
              </a:gs>
              <a:gs pos="74000">
                <a:srgbClr val="AB48D6"/>
              </a:gs>
              <a:gs pos="43000">
                <a:srgbClr val="9D4EDD"/>
              </a:gs>
            </a:gsLst>
            <a:lin ang="2700000" scaled="0"/>
          </a:gradFill>
        </a:ln>
        <a:effectLst>
          <a:outerShdw blurRad="508000" dist="190500" dir="16200000" algn="br" rotWithShape="0">
            <a:srgbClr val="AB48D6">
              <a:alpha val="7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150338</xdr:colOff>
      <xdr:row>1</xdr:row>
      <xdr:rowOff>71692</xdr:rowOff>
    </xdr:from>
    <xdr:to>
      <xdr:col>21</xdr:col>
      <xdr:colOff>220766</xdr:colOff>
      <xdr:row>5</xdr:row>
      <xdr:rowOff>41563</xdr:rowOff>
    </xdr:to>
    <xdr:sp macro="" textlink="">
      <xdr:nvSpPr>
        <xdr:cNvPr id="17" name="Freeform: Shape 16">
          <a:extLst>
            <a:ext uri="{FF2B5EF4-FFF2-40B4-BE49-F238E27FC236}">
              <a16:creationId xmlns:a16="http://schemas.microsoft.com/office/drawing/2014/main" id="{00000000-0008-0000-0200-000011000000}"/>
            </a:ext>
          </a:extLst>
        </xdr:cNvPr>
        <xdr:cNvSpPr/>
      </xdr:nvSpPr>
      <xdr:spPr>
        <a:xfrm>
          <a:off x="150338" y="256851"/>
          <a:ext cx="12931849" cy="710506"/>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gradFill flip="none" rotWithShape="1">
          <a:gsLst>
            <a:gs pos="0">
              <a:srgbClr val="212743"/>
            </a:gs>
            <a:gs pos="100000">
              <a:srgbClr val="202644"/>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55696</xdr:colOff>
      <xdr:row>2</xdr:row>
      <xdr:rowOff>23539</xdr:rowOff>
    </xdr:from>
    <xdr:to>
      <xdr:col>8</xdr:col>
      <xdr:colOff>208096</xdr:colOff>
      <xdr:row>4</xdr:row>
      <xdr:rowOff>35255</xdr:rowOff>
    </xdr:to>
    <xdr:sp macro="" textlink="">
      <xdr:nvSpPr>
        <xdr:cNvPr id="18" name="Rectangle: Rounded Corners 17">
          <a:extLst>
            <a:ext uri="{FF2B5EF4-FFF2-40B4-BE49-F238E27FC236}">
              <a16:creationId xmlns:a16="http://schemas.microsoft.com/office/drawing/2014/main" id="{00000000-0008-0000-0200-000012000000}"/>
            </a:ext>
          </a:extLst>
        </xdr:cNvPr>
        <xdr:cNvSpPr/>
      </xdr:nvSpPr>
      <xdr:spPr>
        <a:xfrm>
          <a:off x="3713296" y="383757"/>
          <a:ext cx="1371600" cy="371934"/>
        </a:xfrm>
        <a:prstGeom prst="roundRect">
          <a:avLst>
            <a:gd name="adj" fmla="val 49653"/>
          </a:avLst>
        </a:prstGeom>
        <a:solidFill>
          <a:srgbClr val="0000FF">
            <a:alpha val="32000"/>
          </a:srgbClr>
        </a:solidFill>
        <a:ln w="6350">
          <a:solidFill>
            <a:schemeClr val="bg1"/>
          </a:solidFill>
        </a:ln>
        <a:effectLst>
          <a:glow rad="101600">
            <a:srgbClr val="00B0F0">
              <a:alpha val="10000"/>
            </a:srgbClr>
          </a:glow>
          <a:outerShdw blurRad="127000" sx="105000" sy="105000" algn="tl" rotWithShape="0">
            <a:srgbClr val="0000FF">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400">
              <a:solidFill>
                <a:schemeClr val="bg1"/>
              </a:solidFill>
            </a:rPr>
            <a:t>Dashboard</a:t>
          </a:r>
          <a:endParaRPr lang="ru-RU" sz="1400">
            <a:solidFill>
              <a:schemeClr val="bg1"/>
            </a:solidFill>
          </a:endParaRPr>
        </a:p>
      </xdr:txBody>
    </xdr:sp>
    <xdr:clientData/>
  </xdr:twoCellAnchor>
  <xdr:twoCellAnchor>
    <xdr:from>
      <xdr:col>11</xdr:col>
      <xdr:colOff>36128</xdr:colOff>
      <xdr:row>2</xdr:row>
      <xdr:rowOff>23539</xdr:rowOff>
    </xdr:from>
    <xdr:to>
      <xdr:col>13</xdr:col>
      <xdr:colOff>188528</xdr:colOff>
      <xdr:row>4</xdr:row>
      <xdr:rowOff>35255</xdr:rowOff>
    </xdr:to>
    <xdr:sp macro="" textlink="">
      <xdr:nvSpPr>
        <xdr:cNvPr id="19" name="Rectangle: Rounded Corners 18">
          <a:extLst>
            <a:ext uri="{FF2B5EF4-FFF2-40B4-BE49-F238E27FC236}">
              <a16:creationId xmlns:a16="http://schemas.microsoft.com/office/drawing/2014/main" id="{00000000-0008-0000-0200-000013000000}"/>
            </a:ext>
          </a:extLst>
        </xdr:cNvPr>
        <xdr:cNvSpPr/>
      </xdr:nvSpPr>
      <xdr:spPr>
        <a:xfrm>
          <a:off x="6741728" y="383757"/>
          <a:ext cx="1371600" cy="371934"/>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Operations</a:t>
          </a:r>
          <a:endParaRPr lang="ru-RU" sz="1050" b="0" kern="1200">
            <a:solidFill>
              <a:schemeClr val="accent1">
                <a:lumMod val="20000"/>
                <a:lumOff val="80000"/>
              </a:schemeClr>
            </a:solidFill>
            <a:latin typeface="+mn-lt"/>
            <a:ea typeface="+mn-ea"/>
            <a:cs typeface="+mn-cs"/>
          </a:endParaRPr>
        </a:p>
      </xdr:txBody>
    </xdr:sp>
    <xdr:clientData/>
  </xdr:twoCellAnchor>
  <xdr:twoCellAnchor>
    <xdr:from>
      <xdr:col>8</xdr:col>
      <xdr:colOff>350712</xdr:colOff>
      <xdr:row>2</xdr:row>
      <xdr:rowOff>23539</xdr:rowOff>
    </xdr:from>
    <xdr:to>
      <xdr:col>10</xdr:col>
      <xdr:colOff>503112</xdr:colOff>
      <xdr:row>4</xdr:row>
      <xdr:rowOff>35255</xdr:rowOff>
    </xdr:to>
    <xdr:sp macro="" textlink="">
      <xdr:nvSpPr>
        <xdr:cNvPr id="20" name="Rectangle: Rounded Corners 19">
          <a:extLst>
            <a:ext uri="{FF2B5EF4-FFF2-40B4-BE49-F238E27FC236}">
              <a16:creationId xmlns:a16="http://schemas.microsoft.com/office/drawing/2014/main" id="{00000000-0008-0000-0200-000014000000}"/>
            </a:ext>
          </a:extLst>
        </xdr:cNvPr>
        <xdr:cNvSpPr/>
      </xdr:nvSpPr>
      <xdr:spPr>
        <a:xfrm>
          <a:off x="5227512" y="383757"/>
          <a:ext cx="1371600" cy="371934"/>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Profitability </a:t>
          </a:r>
          <a:endParaRPr lang="ru-RU" sz="1100" b="0" kern="1200">
            <a:solidFill>
              <a:schemeClr val="accent1">
                <a:lumMod val="20000"/>
                <a:lumOff val="80000"/>
              </a:schemeClr>
            </a:solidFill>
            <a:effectLst/>
            <a:latin typeface="+mn-lt"/>
            <a:ea typeface="+mn-ea"/>
            <a:cs typeface="+mn-cs"/>
          </a:endParaRPr>
        </a:p>
      </xdr:txBody>
    </xdr:sp>
    <xdr:clientData/>
  </xdr:twoCellAnchor>
  <xdr:twoCellAnchor>
    <xdr:from>
      <xdr:col>13</xdr:col>
      <xdr:colOff>331144</xdr:colOff>
      <xdr:row>2</xdr:row>
      <xdr:rowOff>23539</xdr:rowOff>
    </xdr:from>
    <xdr:to>
      <xdr:col>15</xdr:col>
      <xdr:colOff>483544</xdr:colOff>
      <xdr:row>4</xdr:row>
      <xdr:rowOff>35255</xdr:rowOff>
    </xdr:to>
    <xdr:sp macro="" textlink="">
      <xdr:nvSpPr>
        <xdr:cNvPr id="21" name="Rectangle: Rounded Corners 20">
          <a:extLst>
            <a:ext uri="{FF2B5EF4-FFF2-40B4-BE49-F238E27FC236}">
              <a16:creationId xmlns:a16="http://schemas.microsoft.com/office/drawing/2014/main" id="{00000000-0008-0000-0200-000015000000}"/>
            </a:ext>
          </a:extLst>
        </xdr:cNvPr>
        <xdr:cNvSpPr/>
      </xdr:nvSpPr>
      <xdr:spPr>
        <a:xfrm>
          <a:off x="8255944" y="383757"/>
          <a:ext cx="1371600" cy="371934"/>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Dataset</a:t>
          </a:r>
          <a:endParaRPr lang="ru-RU" sz="1050" b="0" kern="1200">
            <a:solidFill>
              <a:schemeClr val="accent1">
                <a:lumMod val="20000"/>
                <a:lumOff val="80000"/>
              </a:schemeClr>
            </a:solidFill>
            <a:latin typeface="+mn-lt"/>
            <a:ea typeface="+mn-ea"/>
            <a:cs typeface="+mn-cs"/>
          </a:endParaRPr>
        </a:p>
      </xdr:txBody>
    </xdr:sp>
    <xdr:clientData/>
  </xdr:twoCellAnchor>
  <xdr:twoCellAnchor>
    <xdr:from>
      <xdr:col>0</xdr:col>
      <xdr:colOff>186584</xdr:colOff>
      <xdr:row>2</xdr:row>
      <xdr:rowOff>45335</xdr:rowOff>
    </xdr:from>
    <xdr:to>
      <xdr:col>5</xdr:col>
      <xdr:colOff>491835</xdr:colOff>
      <xdr:row>4</xdr:row>
      <xdr:rowOff>41170</xdr:rowOff>
    </xdr:to>
    <xdr:sp macro="" textlink="">
      <xdr:nvSpPr>
        <xdr:cNvPr id="22" name="TextBox 158">
          <a:extLst>
            <a:ext uri="{FF2B5EF4-FFF2-40B4-BE49-F238E27FC236}">
              <a16:creationId xmlns:a16="http://schemas.microsoft.com/office/drawing/2014/main" id="{00000000-0008-0000-0200-000016000000}"/>
            </a:ext>
          </a:extLst>
        </xdr:cNvPr>
        <xdr:cNvSpPr txBox="1"/>
      </xdr:nvSpPr>
      <xdr:spPr>
        <a:xfrm>
          <a:off x="186584" y="405553"/>
          <a:ext cx="3353251" cy="356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l" defTabSz="914400" rtl="0" eaLnBrk="1" latinLnBrk="0" hangingPunct="1"/>
          <a:r>
            <a:rPr lang="en-US" sz="2400" b="1" kern="1200">
              <a:solidFill>
                <a:srgbClr val="BFFAFF"/>
              </a:solidFill>
              <a:latin typeface="Anek Tamil ExtraBold" pitchFamily="2" charset="0"/>
              <a:ea typeface="+mn-ea"/>
              <a:cs typeface="Anek Tamil ExtraBold" pitchFamily="2" charset="0"/>
            </a:rPr>
            <a:t>MarketPulse </a:t>
          </a:r>
          <a:r>
            <a:rPr lang="en-US" sz="2400" b="1" kern="1200">
              <a:solidFill>
                <a:schemeClr val="bg1"/>
              </a:solidFill>
              <a:latin typeface="Anek Tamil ExtraBold" pitchFamily="2" charset="0"/>
              <a:ea typeface="+mn-ea"/>
              <a:cs typeface="Anek Tamil ExtraBold" pitchFamily="2" charset="0"/>
            </a:rPr>
            <a:t>Analytics</a:t>
          </a:r>
        </a:p>
      </xdr:txBody>
    </xdr:sp>
    <xdr:clientData/>
  </xdr:twoCellAnchor>
  <xdr:twoCellAnchor>
    <xdr:from>
      <xdr:col>16</xdr:col>
      <xdr:colOff>16560</xdr:colOff>
      <xdr:row>2</xdr:row>
      <xdr:rowOff>23539</xdr:rowOff>
    </xdr:from>
    <xdr:to>
      <xdr:col>18</xdr:col>
      <xdr:colOff>168960</xdr:colOff>
      <xdr:row>4</xdr:row>
      <xdr:rowOff>35255</xdr:rowOff>
    </xdr:to>
    <xdr:sp macro="" textlink="">
      <xdr:nvSpPr>
        <xdr:cNvPr id="23" name="Rectangle: Rounded Corners 22">
          <a:extLst>
            <a:ext uri="{FF2B5EF4-FFF2-40B4-BE49-F238E27FC236}">
              <a16:creationId xmlns:a16="http://schemas.microsoft.com/office/drawing/2014/main" id="{00000000-0008-0000-0200-000017000000}"/>
            </a:ext>
          </a:extLst>
        </xdr:cNvPr>
        <xdr:cNvSpPr/>
      </xdr:nvSpPr>
      <xdr:spPr>
        <a:xfrm>
          <a:off x="9770160" y="383757"/>
          <a:ext cx="1371600" cy="371934"/>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Insights</a:t>
          </a:r>
          <a:endParaRPr lang="ru-RU" sz="1050" b="0" kern="1200">
            <a:solidFill>
              <a:schemeClr val="accent1">
                <a:lumMod val="20000"/>
                <a:lumOff val="80000"/>
              </a:schemeClr>
            </a:solidFill>
            <a:latin typeface="+mn-lt"/>
            <a:ea typeface="+mn-ea"/>
            <a:cs typeface="+mn-cs"/>
          </a:endParaRPr>
        </a:p>
      </xdr:txBody>
    </xdr:sp>
    <xdr:clientData/>
  </xdr:twoCellAnchor>
  <xdr:twoCellAnchor>
    <xdr:from>
      <xdr:col>0</xdr:col>
      <xdr:colOff>250125</xdr:colOff>
      <xdr:row>12</xdr:row>
      <xdr:rowOff>9703</xdr:rowOff>
    </xdr:from>
    <xdr:to>
      <xdr:col>8</xdr:col>
      <xdr:colOff>547254</xdr:colOff>
      <xdr:row>24</xdr:row>
      <xdr:rowOff>166255</xdr:rowOff>
    </xdr:to>
    <xdr:sp macro="" textlink="">
      <xdr:nvSpPr>
        <xdr:cNvPr id="24" name="Rectangle: Rounded Corners 23">
          <a:extLst>
            <a:ext uri="{FF2B5EF4-FFF2-40B4-BE49-F238E27FC236}">
              <a16:creationId xmlns:a16="http://schemas.microsoft.com/office/drawing/2014/main" id="{00000000-0008-0000-0200-000018000000}"/>
            </a:ext>
          </a:extLst>
        </xdr:cNvPr>
        <xdr:cNvSpPr/>
      </xdr:nvSpPr>
      <xdr:spPr>
        <a:xfrm>
          <a:off x="250125" y="2171012"/>
          <a:ext cx="5173929" cy="2317861"/>
        </a:xfrm>
        <a:prstGeom prst="roundRect">
          <a:avLst>
            <a:gd name="adj" fmla="val 9134"/>
          </a:avLst>
        </a:prstGeom>
        <a:gradFill flip="none" rotWithShape="1">
          <a:gsLst>
            <a:gs pos="75000">
              <a:srgbClr val="080614"/>
            </a:gs>
            <a:gs pos="0">
              <a:srgbClr val="140C2E"/>
            </a:gs>
          </a:gsLst>
          <a:lin ang="5400000" scaled="0"/>
          <a:tileRect/>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200" kern="1200">
            <a:solidFill>
              <a:schemeClr val="bg1"/>
            </a:solidFill>
            <a:latin typeface="Aptos Narrow"/>
            <a:ea typeface="+mn-ea"/>
            <a:cs typeface="+mn-cs"/>
          </a:endParaRPr>
        </a:p>
      </xdr:txBody>
    </xdr:sp>
    <xdr:clientData/>
  </xdr:twoCellAnchor>
  <xdr:twoCellAnchor>
    <xdr:from>
      <xdr:col>0</xdr:col>
      <xdr:colOff>277090</xdr:colOff>
      <xdr:row>4</xdr:row>
      <xdr:rowOff>20782</xdr:rowOff>
    </xdr:from>
    <xdr:to>
      <xdr:col>3</xdr:col>
      <xdr:colOff>200891</xdr:colOff>
      <xdr:row>4</xdr:row>
      <xdr:rowOff>20782</xdr:rowOff>
    </xdr:to>
    <xdr:cxnSp macro="">
      <xdr:nvCxnSpPr>
        <xdr:cNvPr id="35" name="Straight Connector 34">
          <a:extLst>
            <a:ext uri="{FF2B5EF4-FFF2-40B4-BE49-F238E27FC236}">
              <a16:creationId xmlns:a16="http://schemas.microsoft.com/office/drawing/2014/main" id="{00000000-0008-0000-0200-000023000000}"/>
            </a:ext>
          </a:extLst>
        </xdr:cNvPr>
        <xdr:cNvCxnSpPr/>
      </xdr:nvCxnSpPr>
      <xdr:spPr>
        <a:xfrm flipH="1">
          <a:off x="277090" y="741218"/>
          <a:ext cx="1752601" cy="0"/>
        </a:xfrm>
        <a:prstGeom prst="line">
          <a:avLst/>
        </a:prstGeom>
        <a:ln>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557787</xdr:colOff>
      <xdr:row>25</xdr:row>
      <xdr:rowOff>111853</xdr:rowOff>
    </xdr:from>
    <xdr:to>
      <xdr:col>13</xdr:col>
      <xdr:colOff>167780</xdr:colOff>
      <xdr:row>35</xdr:row>
      <xdr:rowOff>181063</xdr:rowOff>
    </xdr:to>
    <xdr:sp macro="" textlink="">
      <xdr:nvSpPr>
        <xdr:cNvPr id="26" name="Rectangle: Rounded Corners 25">
          <a:extLst>
            <a:ext uri="{FF2B5EF4-FFF2-40B4-BE49-F238E27FC236}">
              <a16:creationId xmlns:a16="http://schemas.microsoft.com/office/drawing/2014/main" id="{00000000-0008-0000-0200-00001A000000}"/>
            </a:ext>
          </a:extLst>
        </xdr:cNvPr>
        <xdr:cNvSpPr/>
      </xdr:nvSpPr>
      <xdr:spPr>
        <a:xfrm>
          <a:off x="4815200" y="4655890"/>
          <a:ext cx="3259204" cy="1886824"/>
        </a:xfrm>
        <a:prstGeom prst="roundRect">
          <a:avLst>
            <a:gd name="adj" fmla="val 12932"/>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9</xdr:col>
      <xdr:colOff>69272</xdr:colOff>
      <xdr:row>12</xdr:row>
      <xdr:rowOff>9702</xdr:rowOff>
    </xdr:from>
    <xdr:to>
      <xdr:col>12</xdr:col>
      <xdr:colOff>353290</xdr:colOff>
      <xdr:row>24</xdr:row>
      <xdr:rowOff>125834</xdr:rowOff>
    </xdr:to>
    <xdr:sp macro="" textlink="">
      <xdr:nvSpPr>
        <xdr:cNvPr id="30" name="Rectangle: Rounded Corners 29">
          <a:extLst>
            <a:ext uri="{FF2B5EF4-FFF2-40B4-BE49-F238E27FC236}">
              <a16:creationId xmlns:a16="http://schemas.microsoft.com/office/drawing/2014/main" id="{00000000-0008-0000-0200-00001E000000}"/>
            </a:ext>
          </a:extLst>
        </xdr:cNvPr>
        <xdr:cNvSpPr/>
      </xdr:nvSpPr>
      <xdr:spPr>
        <a:xfrm>
          <a:off x="5543089" y="2190840"/>
          <a:ext cx="2108623" cy="2297269"/>
        </a:xfrm>
        <a:prstGeom prst="roundRect">
          <a:avLst>
            <a:gd name="adj" fmla="val 10718"/>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13</xdr:col>
      <xdr:colOff>300606</xdr:colOff>
      <xdr:row>25</xdr:row>
      <xdr:rowOff>13981</xdr:rowOff>
    </xdr:from>
    <xdr:to>
      <xdr:col>16</xdr:col>
      <xdr:colOff>263155</xdr:colOff>
      <xdr:row>35</xdr:row>
      <xdr:rowOff>181063</xdr:rowOff>
    </xdr:to>
    <xdr:sp macro="" textlink="">
      <xdr:nvSpPr>
        <xdr:cNvPr id="42" name="Rectangle: Rounded Corners 41">
          <a:extLst>
            <a:ext uri="{FF2B5EF4-FFF2-40B4-BE49-F238E27FC236}">
              <a16:creationId xmlns:a16="http://schemas.microsoft.com/office/drawing/2014/main" id="{00000000-0008-0000-0200-00002A000000}"/>
            </a:ext>
          </a:extLst>
        </xdr:cNvPr>
        <xdr:cNvSpPr/>
      </xdr:nvSpPr>
      <xdr:spPr>
        <a:xfrm>
          <a:off x="8207230" y="4558018"/>
          <a:ext cx="1787154" cy="1984696"/>
        </a:xfrm>
        <a:prstGeom prst="roundRect">
          <a:avLst>
            <a:gd name="adj" fmla="val 12932"/>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0</xdr:col>
      <xdr:colOff>250126</xdr:colOff>
      <xdr:row>25</xdr:row>
      <xdr:rowOff>132826</xdr:rowOff>
    </xdr:from>
    <xdr:to>
      <xdr:col>7</xdr:col>
      <xdr:colOff>436418</xdr:colOff>
      <xdr:row>35</xdr:row>
      <xdr:rowOff>181064</xdr:rowOff>
    </xdr:to>
    <xdr:sp macro="" textlink="">
      <xdr:nvSpPr>
        <xdr:cNvPr id="27" name="Rectangle: Rounded Corners 26">
          <a:extLst>
            <a:ext uri="{FF2B5EF4-FFF2-40B4-BE49-F238E27FC236}">
              <a16:creationId xmlns:a16="http://schemas.microsoft.com/office/drawing/2014/main" id="{00000000-0008-0000-0200-00001B000000}"/>
            </a:ext>
          </a:extLst>
        </xdr:cNvPr>
        <xdr:cNvSpPr/>
      </xdr:nvSpPr>
      <xdr:spPr>
        <a:xfrm>
          <a:off x="250126" y="4676863"/>
          <a:ext cx="4443705" cy="1865852"/>
        </a:xfrm>
        <a:prstGeom prst="roundRect">
          <a:avLst>
            <a:gd name="adj" fmla="val 9134"/>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16</xdr:col>
      <xdr:colOff>384525</xdr:colOff>
      <xdr:row>17</xdr:row>
      <xdr:rowOff>96284</xdr:rowOff>
    </xdr:from>
    <xdr:to>
      <xdr:col>21</xdr:col>
      <xdr:colOff>42729</xdr:colOff>
      <xdr:row>35</xdr:row>
      <xdr:rowOff>181063</xdr:rowOff>
    </xdr:to>
    <xdr:sp macro="" textlink="">
      <xdr:nvSpPr>
        <xdr:cNvPr id="29" name="Rectangle: Rounded Corners 28">
          <a:extLst>
            <a:ext uri="{FF2B5EF4-FFF2-40B4-BE49-F238E27FC236}">
              <a16:creationId xmlns:a16="http://schemas.microsoft.com/office/drawing/2014/main" id="{00000000-0008-0000-0200-00001D000000}"/>
            </a:ext>
          </a:extLst>
        </xdr:cNvPr>
        <xdr:cNvSpPr/>
      </xdr:nvSpPr>
      <xdr:spPr>
        <a:xfrm>
          <a:off x="10115754" y="3186229"/>
          <a:ext cx="2699214" cy="3356485"/>
        </a:xfrm>
        <a:prstGeom prst="roundRect">
          <a:avLst>
            <a:gd name="adj" fmla="val 9134"/>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16</xdr:col>
      <xdr:colOff>401782</xdr:colOff>
      <xdr:row>5</xdr:row>
      <xdr:rowOff>130217</xdr:rowOff>
    </xdr:from>
    <xdr:to>
      <xdr:col>21</xdr:col>
      <xdr:colOff>28486</xdr:colOff>
      <xdr:row>16</xdr:row>
      <xdr:rowOff>160789</xdr:rowOff>
    </xdr:to>
    <xdr:sp macro="" textlink="">
      <xdr:nvSpPr>
        <xdr:cNvPr id="49" name="Rectangle: Rounded Corners 48">
          <a:extLst>
            <a:ext uri="{FF2B5EF4-FFF2-40B4-BE49-F238E27FC236}">
              <a16:creationId xmlns:a16="http://schemas.microsoft.com/office/drawing/2014/main" id="{00000000-0008-0000-0200-000031000000}"/>
            </a:ext>
          </a:extLst>
        </xdr:cNvPr>
        <xdr:cNvSpPr/>
      </xdr:nvSpPr>
      <xdr:spPr>
        <a:xfrm>
          <a:off x="10133011" y="1039024"/>
          <a:ext cx="2667714" cy="2029948"/>
        </a:xfrm>
        <a:prstGeom prst="roundRect">
          <a:avLst>
            <a:gd name="adj" fmla="val 9134"/>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12</xdr:col>
      <xdr:colOff>484909</xdr:colOff>
      <xdr:row>12</xdr:row>
      <xdr:rowOff>9703</xdr:rowOff>
    </xdr:from>
    <xdr:to>
      <xdr:col>16</xdr:col>
      <xdr:colOff>235527</xdr:colOff>
      <xdr:row>24</xdr:row>
      <xdr:rowOff>38518</xdr:rowOff>
    </xdr:to>
    <xdr:sp macro="" textlink="">
      <xdr:nvSpPr>
        <xdr:cNvPr id="50" name="Rectangle: Rounded Corners 49">
          <a:extLst>
            <a:ext uri="{FF2B5EF4-FFF2-40B4-BE49-F238E27FC236}">
              <a16:creationId xmlns:a16="http://schemas.microsoft.com/office/drawing/2014/main" id="{00000000-0008-0000-0200-000032000000}"/>
            </a:ext>
          </a:extLst>
        </xdr:cNvPr>
        <xdr:cNvSpPr/>
      </xdr:nvSpPr>
      <xdr:spPr>
        <a:xfrm>
          <a:off x="7800109" y="2171012"/>
          <a:ext cx="2189018" cy="2190124"/>
        </a:xfrm>
        <a:prstGeom prst="roundRect">
          <a:avLst>
            <a:gd name="adj" fmla="val 10718"/>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0</xdr:col>
      <xdr:colOff>266304</xdr:colOff>
      <xdr:row>5</xdr:row>
      <xdr:rowOff>166065</xdr:rowOff>
    </xdr:from>
    <xdr:to>
      <xdr:col>3</xdr:col>
      <xdr:colOff>266304</xdr:colOff>
      <xdr:row>11</xdr:row>
      <xdr:rowOff>36386</xdr:rowOff>
    </xdr:to>
    <xdr:grpSp>
      <xdr:nvGrpSpPr>
        <xdr:cNvPr id="34" name="Group 33">
          <a:extLst>
            <a:ext uri="{FF2B5EF4-FFF2-40B4-BE49-F238E27FC236}">
              <a16:creationId xmlns:a16="http://schemas.microsoft.com/office/drawing/2014/main" id="{00000000-0008-0000-0200-000022000000}"/>
            </a:ext>
          </a:extLst>
        </xdr:cNvPr>
        <xdr:cNvGrpSpPr/>
      </xdr:nvGrpSpPr>
      <xdr:grpSpPr>
        <a:xfrm>
          <a:off x="266304" y="1074872"/>
          <a:ext cx="1824606" cy="960890"/>
          <a:chOff x="5141975" y="3121152"/>
          <a:chExt cx="1908049" cy="1347217"/>
        </a:xfrm>
        <a:effectLst/>
      </xdr:grpSpPr>
      <xdr:sp macro="" textlink="">
        <xdr:nvSpPr>
          <xdr:cNvPr id="37" name="Rectangle: Rounded Corners 36">
            <a:extLst>
              <a:ext uri="{FF2B5EF4-FFF2-40B4-BE49-F238E27FC236}">
                <a16:creationId xmlns:a16="http://schemas.microsoft.com/office/drawing/2014/main" id="{00000000-0008-0000-0200-000025000000}"/>
              </a:ext>
            </a:extLst>
          </xdr:cNvPr>
          <xdr:cNvSpPr/>
        </xdr:nvSpPr>
        <xdr:spPr>
          <a:xfrm>
            <a:off x="5141975" y="3121153"/>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Rectangle: Rounded Corners 37">
            <a:extLst>
              <a:ext uri="{FF2B5EF4-FFF2-40B4-BE49-F238E27FC236}">
                <a16:creationId xmlns:a16="http://schemas.microsoft.com/office/drawing/2014/main" id="{00000000-0008-0000-0200-000026000000}"/>
              </a:ext>
            </a:extLst>
          </xdr:cNvPr>
          <xdr:cNvSpPr/>
        </xdr:nvSpPr>
        <xdr:spPr>
          <a:xfrm>
            <a:off x="5141976" y="3121152"/>
            <a:ext cx="1908048" cy="1347216"/>
          </a:xfrm>
          <a:prstGeom prst="roundRect">
            <a:avLst>
              <a:gd name="adj" fmla="val 9880"/>
            </a:avLst>
          </a:prstGeom>
          <a:gradFill flip="none" rotWithShape="1">
            <a:gsLst>
              <a:gs pos="100000">
                <a:srgbClr val="1F1F98">
                  <a:alpha val="0"/>
                </a:srgbClr>
              </a:gs>
              <a:gs pos="5000">
                <a:srgbClr val="1EC0E2"/>
              </a:gs>
            </a:gsLst>
            <a:lin ang="2700000" scaled="1"/>
            <a:tileRect/>
          </a:gradFill>
          <a:ln w="9525">
            <a:gradFill flip="none" rotWithShape="1">
              <a:gsLst>
                <a:gs pos="21000">
                  <a:srgbClr val="9DFFFF"/>
                </a:gs>
                <a:gs pos="81000">
                  <a:srgbClr val="CC00FF"/>
                </a:gs>
              </a:gsLst>
              <a:lin ang="27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0</xdr:col>
      <xdr:colOff>386344</xdr:colOff>
      <xdr:row>5</xdr:row>
      <xdr:rowOff>159138</xdr:rowOff>
    </xdr:from>
    <xdr:to>
      <xdr:col>3</xdr:col>
      <xdr:colOff>146264</xdr:colOff>
      <xdr:row>8</xdr:row>
      <xdr:rowOff>19739</xdr:rowOff>
    </xdr:to>
    <xdr:sp macro="" textlink="Processing!B1">
      <xdr:nvSpPr>
        <xdr:cNvPr id="64" name="TextBox 63">
          <a:extLst>
            <a:ext uri="{FF2B5EF4-FFF2-40B4-BE49-F238E27FC236}">
              <a16:creationId xmlns:a16="http://schemas.microsoft.com/office/drawing/2014/main" id="{00000000-0008-0000-0200-000040000000}"/>
            </a:ext>
          </a:extLst>
        </xdr:cNvPr>
        <xdr:cNvSpPr txBox="1"/>
      </xdr:nvSpPr>
      <xdr:spPr>
        <a:xfrm>
          <a:off x="386344" y="1059683"/>
          <a:ext cx="1588720" cy="400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5F54E37-A099-4E53-AC09-FBA0B7BFCE8F}" type="TxLink">
            <a:rPr lang="en-US" sz="1800" b="0" i="0" u="none" strike="noStrike">
              <a:solidFill>
                <a:schemeClr val="bg1"/>
              </a:solidFill>
              <a:latin typeface="Aptos Narrow"/>
              <a:ea typeface="+mn-ea"/>
              <a:cs typeface="+mn-cs"/>
            </a:rPr>
            <a:pPr marL="0" indent="0" algn="ctr"/>
            <a:t>Total Revenue</a:t>
          </a:fld>
          <a:endParaRPr lang="ru-RU" sz="1800" b="0" i="0" u="none" strike="noStrike">
            <a:solidFill>
              <a:schemeClr val="bg1"/>
            </a:solidFill>
            <a:latin typeface="Aptos Narrow"/>
            <a:ea typeface="+mn-ea"/>
            <a:cs typeface="+mn-cs"/>
          </a:endParaRPr>
        </a:p>
      </xdr:txBody>
    </xdr:sp>
    <xdr:clientData/>
  </xdr:twoCellAnchor>
  <xdr:twoCellAnchor>
    <xdr:from>
      <xdr:col>0</xdr:col>
      <xdr:colOff>257052</xdr:colOff>
      <xdr:row>7</xdr:row>
      <xdr:rowOff>36421</xdr:rowOff>
    </xdr:from>
    <xdr:to>
      <xdr:col>3</xdr:col>
      <xdr:colOff>242454</xdr:colOff>
      <xdr:row>9</xdr:row>
      <xdr:rowOff>96982</xdr:rowOff>
    </xdr:to>
    <xdr:sp macro="" textlink="Processing!B2">
      <xdr:nvSpPr>
        <xdr:cNvPr id="68" name="TextBox 67">
          <a:extLst>
            <a:ext uri="{FF2B5EF4-FFF2-40B4-BE49-F238E27FC236}">
              <a16:creationId xmlns:a16="http://schemas.microsoft.com/office/drawing/2014/main" id="{00000000-0008-0000-0200-000044000000}"/>
            </a:ext>
          </a:extLst>
        </xdr:cNvPr>
        <xdr:cNvSpPr txBox="1"/>
      </xdr:nvSpPr>
      <xdr:spPr>
        <a:xfrm>
          <a:off x="257052" y="1297185"/>
          <a:ext cx="1814202" cy="420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57E41CE-C207-4DA8-9D2C-8BB6228898E6}" type="TxLink">
            <a:rPr lang="en-US" sz="2800" b="0" i="0" u="none" strike="noStrike">
              <a:solidFill>
                <a:schemeClr val="bg1"/>
              </a:solidFill>
              <a:latin typeface="Aptos Narrow"/>
              <a:ea typeface="+mn-ea"/>
              <a:cs typeface="+mn-cs"/>
            </a:rPr>
            <a:pPr marL="0" indent="0" algn="l"/>
            <a:t>$ 401 665 </a:t>
          </a:fld>
          <a:endParaRPr lang="ru-RU" sz="2800" b="0" i="0" u="none" strike="noStrike">
            <a:solidFill>
              <a:schemeClr val="bg1"/>
            </a:solidFill>
            <a:latin typeface="Aptos Narrow"/>
            <a:ea typeface="+mn-ea"/>
            <a:cs typeface="+mn-cs"/>
          </a:endParaRPr>
        </a:p>
      </xdr:txBody>
    </xdr:sp>
    <xdr:clientData/>
  </xdr:twoCellAnchor>
  <xdr:twoCellAnchor>
    <xdr:from>
      <xdr:col>3</xdr:col>
      <xdr:colOff>386839</xdr:colOff>
      <xdr:row>5</xdr:row>
      <xdr:rowOff>166065</xdr:rowOff>
    </xdr:from>
    <xdr:to>
      <xdr:col>6</xdr:col>
      <xdr:colOff>386839</xdr:colOff>
      <xdr:row>11</xdr:row>
      <xdr:rowOff>36386</xdr:rowOff>
    </xdr:to>
    <xdr:grpSp>
      <xdr:nvGrpSpPr>
        <xdr:cNvPr id="31" name="Group 30">
          <a:extLst>
            <a:ext uri="{FF2B5EF4-FFF2-40B4-BE49-F238E27FC236}">
              <a16:creationId xmlns:a16="http://schemas.microsoft.com/office/drawing/2014/main" id="{00000000-0008-0000-0200-00001F000000}"/>
            </a:ext>
          </a:extLst>
        </xdr:cNvPr>
        <xdr:cNvGrpSpPr/>
      </xdr:nvGrpSpPr>
      <xdr:grpSpPr>
        <a:xfrm>
          <a:off x="2211445" y="1074872"/>
          <a:ext cx="1824605" cy="960890"/>
          <a:chOff x="2034540" y="1181100"/>
          <a:chExt cx="2377440" cy="1371600"/>
        </a:xfrm>
        <a:effectLst/>
      </xdr:grpSpPr>
      <xdr:sp macro="" textlink="">
        <xdr:nvSpPr>
          <xdr:cNvPr id="32" name="Rectangle: Rounded Corners 31">
            <a:extLst>
              <a:ext uri="{FF2B5EF4-FFF2-40B4-BE49-F238E27FC236}">
                <a16:creationId xmlns:a16="http://schemas.microsoft.com/office/drawing/2014/main" id="{00000000-0008-0000-0200-000020000000}"/>
              </a:ext>
            </a:extLst>
          </xdr:cNvPr>
          <xdr:cNvSpPr/>
        </xdr:nvSpPr>
        <xdr:spPr>
          <a:xfrm>
            <a:off x="2034540" y="1181100"/>
            <a:ext cx="2377440" cy="1371600"/>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3" name="Rectangle: Rounded Corners 32">
            <a:extLst>
              <a:ext uri="{FF2B5EF4-FFF2-40B4-BE49-F238E27FC236}">
                <a16:creationId xmlns:a16="http://schemas.microsoft.com/office/drawing/2014/main" id="{00000000-0008-0000-0200-000021000000}"/>
              </a:ext>
            </a:extLst>
          </xdr:cNvPr>
          <xdr:cNvSpPr/>
        </xdr:nvSpPr>
        <xdr:spPr>
          <a:xfrm>
            <a:off x="2034540" y="1181100"/>
            <a:ext cx="2377440" cy="1371600"/>
          </a:xfrm>
          <a:prstGeom prst="roundRect">
            <a:avLst>
              <a:gd name="adj" fmla="val 9880"/>
            </a:avLst>
          </a:prstGeom>
          <a:gradFill flip="none" rotWithShape="1">
            <a:gsLst>
              <a:gs pos="100000">
                <a:srgbClr val="1F1F98">
                  <a:alpha val="0"/>
                </a:srgbClr>
              </a:gs>
              <a:gs pos="5000">
                <a:srgbClr val="CC00CC"/>
              </a:gs>
            </a:gsLst>
            <a:lin ang="2700000" scaled="1"/>
            <a:tileRect/>
          </a:gradFill>
          <a:ln w="9525">
            <a:gradFill flip="none" rotWithShape="1">
              <a:gsLst>
                <a:gs pos="12000">
                  <a:srgbClr val="F6A6FC"/>
                </a:gs>
                <a:gs pos="68000">
                  <a:srgbClr val="7CF2FD"/>
                </a:gs>
                <a:gs pos="87000">
                  <a:srgbClr val="4F33DD"/>
                </a:gs>
              </a:gsLst>
              <a:lin ang="18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bg1"/>
              </a:solidFill>
            </a:endParaRPr>
          </a:p>
        </xdr:txBody>
      </xdr:sp>
    </xdr:grpSp>
    <xdr:clientData/>
  </xdr:twoCellAnchor>
  <xdr:twoCellAnchor>
    <xdr:from>
      <xdr:col>3</xdr:col>
      <xdr:colOff>480641</xdr:colOff>
      <xdr:row>5</xdr:row>
      <xdr:rowOff>159138</xdr:rowOff>
    </xdr:from>
    <xdr:to>
      <xdr:col>6</xdr:col>
      <xdr:colOff>293037</xdr:colOff>
      <xdr:row>8</xdr:row>
      <xdr:rowOff>19739</xdr:rowOff>
    </xdr:to>
    <xdr:sp macro="" textlink="Processing!C1">
      <xdr:nvSpPr>
        <xdr:cNvPr id="65" name="TextBox 64">
          <a:extLst>
            <a:ext uri="{FF2B5EF4-FFF2-40B4-BE49-F238E27FC236}">
              <a16:creationId xmlns:a16="http://schemas.microsoft.com/office/drawing/2014/main" id="{00000000-0008-0000-0200-000041000000}"/>
            </a:ext>
          </a:extLst>
        </xdr:cNvPr>
        <xdr:cNvSpPr txBox="1"/>
      </xdr:nvSpPr>
      <xdr:spPr>
        <a:xfrm>
          <a:off x="2309441" y="1059683"/>
          <a:ext cx="1641196" cy="400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86606CF-378D-4D9D-BFB9-C0C1F9BA01DA}" type="TxLink">
            <a:rPr lang="en-US" sz="1800" b="0" i="0" u="none" strike="noStrike">
              <a:solidFill>
                <a:schemeClr val="bg1"/>
              </a:solidFill>
              <a:latin typeface="Aptos Narrow"/>
              <a:ea typeface="+mn-ea"/>
              <a:cs typeface="+mn-cs"/>
            </a:rPr>
            <a:pPr marL="0" indent="0" algn="ctr"/>
            <a:t>Total Expenses</a:t>
          </a:fld>
          <a:endParaRPr lang="ru-RU" sz="1800" b="0" i="0" u="none" strike="noStrike">
            <a:solidFill>
              <a:schemeClr val="bg1"/>
            </a:solidFill>
            <a:latin typeface="Aptos Narrow"/>
            <a:ea typeface="+mn-ea"/>
            <a:cs typeface="+mn-cs"/>
          </a:endParaRPr>
        </a:p>
      </xdr:txBody>
    </xdr:sp>
    <xdr:clientData/>
  </xdr:twoCellAnchor>
  <xdr:twoCellAnchor>
    <xdr:from>
      <xdr:col>3</xdr:col>
      <xdr:colOff>361425</xdr:colOff>
      <xdr:row>7</xdr:row>
      <xdr:rowOff>36421</xdr:rowOff>
    </xdr:from>
    <xdr:to>
      <xdr:col>6</xdr:col>
      <xdr:colOff>581893</xdr:colOff>
      <xdr:row>9</xdr:row>
      <xdr:rowOff>77132</xdr:rowOff>
    </xdr:to>
    <xdr:sp macro="" textlink="Processing!C2">
      <xdr:nvSpPr>
        <xdr:cNvPr id="69" name="TextBox 68">
          <a:extLst>
            <a:ext uri="{FF2B5EF4-FFF2-40B4-BE49-F238E27FC236}">
              <a16:creationId xmlns:a16="http://schemas.microsoft.com/office/drawing/2014/main" id="{00000000-0008-0000-0200-000045000000}"/>
            </a:ext>
          </a:extLst>
        </xdr:cNvPr>
        <xdr:cNvSpPr txBox="1"/>
      </xdr:nvSpPr>
      <xdr:spPr>
        <a:xfrm>
          <a:off x="2190225" y="1297185"/>
          <a:ext cx="2049268" cy="400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C64424C-B367-48C3-B7DF-61FB0BEA7A34}" type="TxLink">
            <a:rPr lang="en-US" sz="2800" b="0" i="0" u="none" strike="noStrike">
              <a:solidFill>
                <a:schemeClr val="bg1"/>
              </a:solidFill>
              <a:latin typeface="Aptos Narrow"/>
              <a:ea typeface="+mn-ea"/>
              <a:cs typeface="+mn-cs"/>
            </a:rPr>
            <a:pPr marL="0" indent="0" algn="l"/>
            <a:t>$ 257 497 </a:t>
          </a:fld>
          <a:endParaRPr lang="ru-RU" sz="2800" b="0" i="0" u="none" strike="noStrike">
            <a:solidFill>
              <a:schemeClr val="bg1"/>
            </a:solidFill>
            <a:latin typeface="Aptos Narrow"/>
            <a:ea typeface="+mn-ea"/>
            <a:cs typeface="+mn-cs"/>
          </a:endParaRPr>
        </a:p>
      </xdr:txBody>
    </xdr:sp>
    <xdr:clientData/>
  </xdr:twoCellAnchor>
  <xdr:twoCellAnchor>
    <xdr:from>
      <xdr:col>6</xdr:col>
      <xdr:colOff>583606</xdr:colOff>
      <xdr:row>5</xdr:row>
      <xdr:rowOff>166065</xdr:rowOff>
    </xdr:from>
    <xdr:to>
      <xdr:col>9</xdr:col>
      <xdr:colOff>583606</xdr:colOff>
      <xdr:row>11</xdr:row>
      <xdr:rowOff>36386</xdr:rowOff>
    </xdr:to>
    <xdr:grpSp>
      <xdr:nvGrpSpPr>
        <xdr:cNvPr id="2" name="Group 1">
          <a:extLst>
            <a:ext uri="{FF2B5EF4-FFF2-40B4-BE49-F238E27FC236}">
              <a16:creationId xmlns:a16="http://schemas.microsoft.com/office/drawing/2014/main" id="{00000000-0008-0000-0200-000002000000}"/>
            </a:ext>
          </a:extLst>
        </xdr:cNvPr>
        <xdr:cNvGrpSpPr/>
      </xdr:nvGrpSpPr>
      <xdr:grpSpPr>
        <a:xfrm>
          <a:off x="4232817" y="1074872"/>
          <a:ext cx="1824606" cy="960890"/>
          <a:chOff x="5141975" y="3121152"/>
          <a:chExt cx="1908049" cy="1347217"/>
        </a:xfrm>
        <a:effectLst/>
      </xdr:grpSpPr>
      <xdr:sp macro="" textlink="">
        <xdr:nvSpPr>
          <xdr:cNvPr id="25" name="Rectangle: Rounded Corners 24">
            <a:extLst>
              <a:ext uri="{FF2B5EF4-FFF2-40B4-BE49-F238E27FC236}">
                <a16:creationId xmlns:a16="http://schemas.microsoft.com/office/drawing/2014/main" id="{00000000-0008-0000-0200-000019000000}"/>
              </a:ext>
            </a:extLst>
          </xdr:cNvPr>
          <xdr:cNvSpPr/>
        </xdr:nvSpPr>
        <xdr:spPr>
          <a:xfrm>
            <a:off x="5141975" y="3121153"/>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8" name="Rectangle: Rounded Corners 27">
            <a:extLst>
              <a:ext uri="{FF2B5EF4-FFF2-40B4-BE49-F238E27FC236}">
                <a16:creationId xmlns:a16="http://schemas.microsoft.com/office/drawing/2014/main" id="{00000000-0008-0000-0200-00001C000000}"/>
              </a:ext>
            </a:extLst>
          </xdr:cNvPr>
          <xdr:cNvSpPr/>
        </xdr:nvSpPr>
        <xdr:spPr>
          <a:xfrm>
            <a:off x="5141976" y="3121152"/>
            <a:ext cx="1908048" cy="1347216"/>
          </a:xfrm>
          <a:prstGeom prst="roundRect">
            <a:avLst>
              <a:gd name="adj" fmla="val 9880"/>
            </a:avLst>
          </a:prstGeom>
          <a:gradFill flip="none" rotWithShape="1">
            <a:gsLst>
              <a:gs pos="100000">
                <a:srgbClr val="1F1F98">
                  <a:alpha val="0"/>
                </a:srgbClr>
              </a:gs>
              <a:gs pos="5000">
                <a:srgbClr val="0000FF"/>
              </a:gs>
            </a:gsLst>
            <a:lin ang="2700000" scaled="1"/>
            <a:tileRect/>
          </a:gradFill>
          <a:ln w="9525">
            <a:gradFill flip="none" rotWithShape="1">
              <a:gsLst>
                <a:gs pos="21000">
                  <a:srgbClr val="9DFFFF"/>
                </a:gs>
                <a:gs pos="81000">
                  <a:srgbClr val="CC00FF"/>
                </a:gs>
              </a:gsLst>
              <a:lin ang="27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7</xdr:col>
      <xdr:colOff>94722</xdr:colOff>
      <xdr:row>5</xdr:row>
      <xdr:rowOff>159138</xdr:rowOff>
    </xdr:from>
    <xdr:to>
      <xdr:col>9</xdr:col>
      <xdr:colOff>462890</xdr:colOff>
      <xdr:row>8</xdr:row>
      <xdr:rowOff>19739</xdr:rowOff>
    </xdr:to>
    <xdr:sp macro="" textlink="Processing!D1">
      <xdr:nvSpPr>
        <xdr:cNvPr id="66" name="TextBox 65">
          <a:extLst>
            <a:ext uri="{FF2B5EF4-FFF2-40B4-BE49-F238E27FC236}">
              <a16:creationId xmlns:a16="http://schemas.microsoft.com/office/drawing/2014/main" id="{00000000-0008-0000-0200-000042000000}"/>
            </a:ext>
          </a:extLst>
        </xdr:cNvPr>
        <xdr:cNvSpPr txBox="1"/>
      </xdr:nvSpPr>
      <xdr:spPr>
        <a:xfrm>
          <a:off x="4361922" y="1059683"/>
          <a:ext cx="1587368" cy="400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1FA2558-1B02-4257-8991-E6DB19BF7136}" type="TxLink">
            <a:rPr lang="en-US" sz="1800" b="0" i="0" u="none" strike="noStrike">
              <a:solidFill>
                <a:schemeClr val="bg1"/>
              </a:solidFill>
              <a:latin typeface="Aptos Narrow"/>
              <a:ea typeface="+mn-ea"/>
              <a:cs typeface="+mn-cs"/>
            </a:rPr>
            <a:pPr marL="0" indent="0" algn="ctr"/>
            <a:t>Total Quantity</a:t>
          </a:fld>
          <a:endParaRPr lang="ru-RU" sz="1800" b="0" i="0" u="none" strike="noStrike">
            <a:solidFill>
              <a:schemeClr val="bg1"/>
            </a:solidFill>
            <a:latin typeface="Aptos Narrow"/>
            <a:ea typeface="+mn-ea"/>
            <a:cs typeface="+mn-cs"/>
          </a:endParaRPr>
        </a:p>
      </xdr:txBody>
    </xdr:sp>
    <xdr:clientData/>
  </xdr:twoCellAnchor>
  <xdr:twoCellAnchor>
    <xdr:from>
      <xdr:col>6</xdr:col>
      <xdr:colOff>505293</xdr:colOff>
      <xdr:row>7</xdr:row>
      <xdr:rowOff>36421</xdr:rowOff>
    </xdr:from>
    <xdr:to>
      <xdr:col>10</xdr:col>
      <xdr:colOff>48490</xdr:colOff>
      <xdr:row>9</xdr:row>
      <xdr:rowOff>77132</xdr:rowOff>
    </xdr:to>
    <xdr:sp macro="" textlink="Processing!D2">
      <xdr:nvSpPr>
        <xdr:cNvPr id="70" name="TextBox 69">
          <a:extLst>
            <a:ext uri="{FF2B5EF4-FFF2-40B4-BE49-F238E27FC236}">
              <a16:creationId xmlns:a16="http://schemas.microsoft.com/office/drawing/2014/main" id="{00000000-0008-0000-0200-000046000000}"/>
            </a:ext>
          </a:extLst>
        </xdr:cNvPr>
        <xdr:cNvSpPr txBox="1"/>
      </xdr:nvSpPr>
      <xdr:spPr>
        <a:xfrm>
          <a:off x="4162893" y="1297185"/>
          <a:ext cx="1981597" cy="400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A51E906-66FC-4154-84BB-1A010B681F9C}" type="TxLink">
            <a:rPr lang="en-US" sz="2800" b="0" i="0" u="none" strike="noStrike">
              <a:solidFill>
                <a:schemeClr val="bg1"/>
              </a:solidFill>
              <a:latin typeface="Aptos Narrow"/>
              <a:ea typeface="+mn-ea"/>
              <a:cs typeface="+mn-cs"/>
            </a:rPr>
            <a:pPr marL="0" indent="0" algn="l"/>
            <a:t> 2 103 </a:t>
          </a:fld>
          <a:endParaRPr lang="ru-RU" sz="2800" b="0" i="0" u="none" strike="noStrike">
            <a:solidFill>
              <a:schemeClr val="bg1"/>
            </a:solidFill>
            <a:latin typeface="Aptos Narrow"/>
            <a:ea typeface="+mn-ea"/>
            <a:cs typeface="+mn-cs"/>
          </a:endParaRPr>
        </a:p>
      </xdr:txBody>
    </xdr:sp>
    <xdr:clientData/>
  </xdr:twoCellAnchor>
  <xdr:twoCellAnchor>
    <xdr:from>
      <xdr:col>10</xdr:col>
      <xdr:colOff>102128</xdr:colOff>
      <xdr:row>5</xdr:row>
      <xdr:rowOff>166065</xdr:rowOff>
    </xdr:from>
    <xdr:to>
      <xdr:col>13</xdr:col>
      <xdr:colOff>102129</xdr:colOff>
      <xdr:row>11</xdr:row>
      <xdr:rowOff>36387</xdr:rowOff>
    </xdr:to>
    <xdr:grpSp>
      <xdr:nvGrpSpPr>
        <xdr:cNvPr id="39" name="Group 38">
          <a:extLst>
            <a:ext uri="{FF2B5EF4-FFF2-40B4-BE49-F238E27FC236}">
              <a16:creationId xmlns:a16="http://schemas.microsoft.com/office/drawing/2014/main" id="{00000000-0008-0000-0200-000027000000}"/>
            </a:ext>
          </a:extLst>
        </xdr:cNvPr>
        <xdr:cNvGrpSpPr/>
      </xdr:nvGrpSpPr>
      <xdr:grpSpPr>
        <a:xfrm>
          <a:off x="6184146" y="1074872"/>
          <a:ext cx="1824607" cy="960891"/>
          <a:chOff x="7162800" y="3121151"/>
          <a:chExt cx="1908049" cy="1347217"/>
        </a:xfrm>
        <a:effectLst/>
      </xdr:grpSpPr>
      <xdr:sp macro="" textlink="">
        <xdr:nvSpPr>
          <xdr:cNvPr id="40" name="Rectangle: Rounded Corners 39">
            <a:extLst>
              <a:ext uri="{FF2B5EF4-FFF2-40B4-BE49-F238E27FC236}">
                <a16:creationId xmlns:a16="http://schemas.microsoft.com/office/drawing/2014/main" id="{00000000-0008-0000-0200-000028000000}"/>
              </a:ext>
            </a:extLst>
          </xdr:cNvPr>
          <xdr:cNvSpPr/>
        </xdr:nvSpPr>
        <xdr:spPr>
          <a:xfrm>
            <a:off x="7162800" y="3121152"/>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 name="Rectangle: Rounded Corners 40">
            <a:extLst>
              <a:ext uri="{FF2B5EF4-FFF2-40B4-BE49-F238E27FC236}">
                <a16:creationId xmlns:a16="http://schemas.microsoft.com/office/drawing/2014/main" id="{00000000-0008-0000-0200-000029000000}"/>
              </a:ext>
            </a:extLst>
          </xdr:cNvPr>
          <xdr:cNvSpPr/>
        </xdr:nvSpPr>
        <xdr:spPr>
          <a:xfrm>
            <a:off x="7162801" y="3121151"/>
            <a:ext cx="1908048" cy="1347216"/>
          </a:xfrm>
          <a:prstGeom prst="roundRect">
            <a:avLst>
              <a:gd name="adj" fmla="val 9880"/>
            </a:avLst>
          </a:prstGeom>
          <a:gradFill flip="none" rotWithShape="1">
            <a:gsLst>
              <a:gs pos="100000">
                <a:srgbClr val="1F1F98">
                  <a:alpha val="0"/>
                </a:srgbClr>
              </a:gs>
              <a:gs pos="8000">
                <a:srgbClr val="9933FF"/>
              </a:gs>
            </a:gsLst>
            <a:lin ang="2700000" scaled="1"/>
            <a:tileRect/>
          </a:gradFill>
          <a:ln w="9525">
            <a:gradFill flip="none" rotWithShape="1">
              <a:gsLst>
                <a:gs pos="14000">
                  <a:srgbClr val="E39CFF"/>
                </a:gs>
                <a:gs pos="39000">
                  <a:srgbClr val="6AF8FF"/>
                </a:gs>
                <a:gs pos="87000">
                  <a:srgbClr val="CC00FF"/>
                </a:gs>
              </a:gsLst>
              <a:lin ang="42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10</xdr:col>
      <xdr:colOff>270530</xdr:colOff>
      <xdr:row>5</xdr:row>
      <xdr:rowOff>159138</xdr:rowOff>
    </xdr:from>
    <xdr:to>
      <xdr:col>12</xdr:col>
      <xdr:colOff>543326</xdr:colOff>
      <xdr:row>8</xdr:row>
      <xdr:rowOff>19739</xdr:rowOff>
    </xdr:to>
    <xdr:sp macro="" textlink="Processing!E1">
      <xdr:nvSpPr>
        <xdr:cNvPr id="67" name="TextBox 66">
          <a:extLst>
            <a:ext uri="{FF2B5EF4-FFF2-40B4-BE49-F238E27FC236}">
              <a16:creationId xmlns:a16="http://schemas.microsoft.com/office/drawing/2014/main" id="{00000000-0008-0000-0200-000043000000}"/>
            </a:ext>
          </a:extLst>
        </xdr:cNvPr>
        <xdr:cNvSpPr txBox="1"/>
      </xdr:nvSpPr>
      <xdr:spPr>
        <a:xfrm>
          <a:off x="6366530" y="1059683"/>
          <a:ext cx="1491996" cy="400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36EA7CB-B5E5-4572-A8F5-06AC1B092E92}" type="TxLink">
            <a:rPr lang="en-US" sz="1800" b="0" i="0" u="none" strike="noStrike">
              <a:solidFill>
                <a:schemeClr val="bg1"/>
              </a:solidFill>
              <a:latin typeface="Aptos Narrow"/>
              <a:ea typeface="+mn-ea"/>
              <a:cs typeface="+mn-cs"/>
            </a:rPr>
            <a:pPr marL="0" indent="0" algn="ctr"/>
            <a:t>Total Profit</a:t>
          </a:fld>
          <a:endParaRPr lang="ru-RU" sz="1800" b="0" i="0" u="none" strike="noStrike">
            <a:solidFill>
              <a:schemeClr val="bg1"/>
            </a:solidFill>
            <a:latin typeface="Aptos Narrow"/>
            <a:ea typeface="+mn-ea"/>
            <a:cs typeface="+mn-cs"/>
          </a:endParaRPr>
        </a:p>
      </xdr:txBody>
    </xdr:sp>
    <xdr:clientData/>
  </xdr:twoCellAnchor>
  <xdr:twoCellAnchor>
    <xdr:from>
      <xdr:col>10</xdr:col>
      <xdr:colOff>72096</xdr:colOff>
      <xdr:row>7</xdr:row>
      <xdr:rowOff>36421</xdr:rowOff>
    </xdr:from>
    <xdr:to>
      <xdr:col>13</xdr:col>
      <xdr:colOff>229144</xdr:colOff>
      <xdr:row>9</xdr:row>
      <xdr:rowOff>77132</xdr:rowOff>
    </xdr:to>
    <xdr:sp macro="" textlink="Processing!E2">
      <xdr:nvSpPr>
        <xdr:cNvPr id="71" name="TextBox 70">
          <a:extLst>
            <a:ext uri="{FF2B5EF4-FFF2-40B4-BE49-F238E27FC236}">
              <a16:creationId xmlns:a16="http://schemas.microsoft.com/office/drawing/2014/main" id="{00000000-0008-0000-0200-000047000000}"/>
            </a:ext>
          </a:extLst>
        </xdr:cNvPr>
        <xdr:cNvSpPr txBox="1"/>
      </xdr:nvSpPr>
      <xdr:spPr>
        <a:xfrm>
          <a:off x="6168096" y="1297185"/>
          <a:ext cx="1985848" cy="400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39CCF77-31D4-434F-8B2A-4A017D7E2035}" type="TxLink">
            <a:rPr lang="en-US" sz="2800" b="0" i="0" u="none" strike="noStrike">
              <a:solidFill>
                <a:schemeClr val="bg1"/>
              </a:solidFill>
              <a:latin typeface="Aptos Narrow"/>
              <a:ea typeface="+mn-ea"/>
              <a:cs typeface="+mn-cs"/>
            </a:rPr>
            <a:pPr marL="0" indent="0" algn="l"/>
            <a:t>$ 144 168 </a:t>
          </a:fld>
          <a:endParaRPr lang="ru-RU" sz="2800" b="0" i="0" u="none" strike="noStrike">
            <a:solidFill>
              <a:schemeClr val="bg1"/>
            </a:solidFill>
            <a:latin typeface="Aptos Narrow"/>
            <a:ea typeface="+mn-ea"/>
            <a:cs typeface="+mn-cs"/>
          </a:endParaRPr>
        </a:p>
      </xdr:txBody>
    </xdr:sp>
    <xdr:clientData/>
  </xdr:twoCellAnchor>
  <xdr:twoCellAnchor>
    <xdr:from>
      <xdr:col>13</xdr:col>
      <xdr:colOff>243128</xdr:colOff>
      <xdr:row>5</xdr:row>
      <xdr:rowOff>166065</xdr:rowOff>
    </xdr:from>
    <xdr:to>
      <xdr:col>16</xdr:col>
      <xdr:colOff>243128</xdr:colOff>
      <xdr:row>11</xdr:row>
      <xdr:rowOff>36386</xdr:rowOff>
    </xdr:to>
    <xdr:grpSp>
      <xdr:nvGrpSpPr>
        <xdr:cNvPr id="59" name="Group 58">
          <a:extLst>
            <a:ext uri="{FF2B5EF4-FFF2-40B4-BE49-F238E27FC236}">
              <a16:creationId xmlns:a16="http://schemas.microsoft.com/office/drawing/2014/main" id="{00000000-0008-0000-0200-00003B000000}"/>
            </a:ext>
          </a:extLst>
        </xdr:cNvPr>
        <xdr:cNvGrpSpPr/>
      </xdr:nvGrpSpPr>
      <xdr:grpSpPr>
        <a:xfrm>
          <a:off x="8149752" y="1074872"/>
          <a:ext cx="1824605" cy="960890"/>
          <a:chOff x="5852072" y="2816245"/>
          <a:chExt cx="1828800" cy="950976"/>
        </a:xfrm>
      </xdr:grpSpPr>
      <xdr:sp macro="" textlink="">
        <xdr:nvSpPr>
          <xdr:cNvPr id="48" name="Rectangle: Rounded Corners 47">
            <a:extLst>
              <a:ext uri="{FF2B5EF4-FFF2-40B4-BE49-F238E27FC236}">
                <a16:creationId xmlns:a16="http://schemas.microsoft.com/office/drawing/2014/main" id="{00000000-0008-0000-0200-000030000000}"/>
              </a:ext>
            </a:extLst>
          </xdr:cNvPr>
          <xdr:cNvSpPr/>
        </xdr:nvSpPr>
        <xdr:spPr>
          <a:xfrm>
            <a:off x="5852072" y="2818529"/>
            <a:ext cx="1828800" cy="946408"/>
          </a:xfrm>
          <a:prstGeom prst="roundRect">
            <a:avLst>
              <a:gd name="adj" fmla="val 10843"/>
            </a:avLst>
          </a:prstGeom>
          <a:gradFill>
            <a:gsLst>
              <a:gs pos="100000">
                <a:srgbClr val="2A1956"/>
              </a:gs>
              <a:gs pos="0">
                <a:srgbClr val="4A278F"/>
              </a:gs>
            </a:gsLst>
            <a:path path="circle">
              <a:fillToRect r="100000" b="100000"/>
            </a:path>
          </a:gradFill>
          <a:ln w="9525">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sz="1200">
              <a:solidFill>
                <a:schemeClr val="bg1"/>
              </a:solidFill>
              <a:latin typeface="Aptos Narrow"/>
            </a:endParaRPr>
          </a:p>
        </xdr:txBody>
      </xdr:sp>
      <xdr:sp macro="" textlink="">
        <xdr:nvSpPr>
          <xdr:cNvPr id="57" name="Rectangle: Rounded Corners 56">
            <a:extLst>
              <a:ext uri="{FF2B5EF4-FFF2-40B4-BE49-F238E27FC236}">
                <a16:creationId xmlns:a16="http://schemas.microsoft.com/office/drawing/2014/main" id="{00000000-0008-0000-0200-000039000000}"/>
              </a:ext>
            </a:extLst>
          </xdr:cNvPr>
          <xdr:cNvSpPr/>
        </xdr:nvSpPr>
        <xdr:spPr>
          <a:xfrm>
            <a:off x="5852072" y="2816245"/>
            <a:ext cx="1828800" cy="950976"/>
          </a:xfrm>
          <a:prstGeom prst="roundRect">
            <a:avLst>
              <a:gd name="adj" fmla="val 9880"/>
            </a:avLst>
          </a:prstGeom>
          <a:gradFill flip="none" rotWithShape="1">
            <a:gsLst>
              <a:gs pos="50000">
                <a:srgbClr val="1F1F98">
                  <a:alpha val="0"/>
                </a:srgbClr>
              </a:gs>
              <a:gs pos="8000">
                <a:srgbClr val="9933FF"/>
              </a:gs>
            </a:gsLst>
            <a:lin ang="2700000" scaled="1"/>
            <a:tileRect/>
          </a:gradFill>
          <a:ln w="9525">
            <a:gradFill flip="none" rotWithShape="1">
              <a:gsLst>
                <a:gs pos="14000">
                  <a:srgbClr val="E39CFF"/>
                </a:gs>
                <a:gs pos="39000">
                  <a:srgbClr val="6AF8FF"/>
                </a:gs>
                <a:gs pos="87000">
                  <a:srgbClr val="CC00FF"/>
                </a:gs>
              </a:gsLst>
              <a:lin ang="42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13</xdr:col>
      <xdr:colOff>340847</xdr:colOff>
      <xdr:row>5</xdr:row>
      <xdr:rowOff>159138</xdr:rowOff>
    </xdr:from>
    <xdr:to>
      <xdr:col>16</xdr:col>
      <xdr:colOff>145409</xdr:colOff>
      <xdr:row>8</xdr:row>
      <xdr:rowOff>19739</xdr:rowOff>
    </xdr:to>
    <xdr:sp macro="" textlink="Processing!F1">
      <xdr:nvSpPr>
        <xdr:cNvPr id="72" name="TextBox 71">
          <a:extLst>
            <a:ext uri="{FF2B5EF4-FFF2-40B4-BE49-F238E27FC236}">
              <a16:creationId xmlns:a16="http://schemas.microsoft.com/office/drawing/2014/main" id="{00000000-0008-0000-0200-000048000000}"/>
            </a:ext>
          </a:extLst>
        </xdr:cNvPr>
        <xdr:cNvSpPr txBox="1"/>
      </xdr:nvSpPr>
      <xdr:spPr>
        <a:xfrm>
          <a:off x="8265647" y="1059683"/>
          <a:ext cx="1633362" cy="400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BCE1857-0D68-48BB-B991-23A6EC8927AB}" type="TxLink">
            <a:rPr lang="en-US" sz="1800" b="0" i="0" u="none" strike="noStrike">
              <a:solidFill>
                <a:schemeClr val="bg1"/>
              </a:solidFill>
              <a:latin typeface="Aptos Narrow"/>
              <a:ea typeface="+mn-ea"/>
              <a:cs typeface="+mn-cs"/>
            </a:rPr>
            <a:pPr marL="0" indent="0" algn="ctr"/>
            <a:t>Avg Order Value</a:t>
          </a:fld>
          <a:endParaRPr lang="ru-RU" sz="1800" b="0" i="0" u="none" strike="noStrike">
            <a:solidFill>
              <a:schemeClr val="bg1"/>
            </a:solidFill>
            <a:latin typeface="Aptos Narrow"/>
            <a:ea typeface="+mn-ea"/>
            <a:cs typeface="+mn-cs"/>
          </a:endParaRPr>
        </a:p>
      </xdr:txBody>
    </xdr:sp>
    <xdr:clientData/>
  </xdr:twoCellAnchor>
  <xdr:twoCellAnchor>
    <xdr:from>
      <xdr:col>13</xdr:col>
      <xdr:colOff>216831</xdr:colOff>
      <xdr:row>7</xdr:row>
      <xdr:rowOff>36421</xdr:rowOff>
    </xdr:from>
    <xdr:to>
      <xdr:col>16</xdr:col>
      <xdr:colOff>241718</xdr:colOff>
      <xdr:row>9</xdr:row>
      <xdr:rowOff>166254</xdr:rowOff>
    </xdr:to>
    <xdr:sp macro="" textlink="Processing!F2">
      <xdr:nvSpPr>
        <xdr:cNvPr id="73" name="TextBox 72">
          <a:extLst>
            <a:ext uri="{FF2B5EF4-FFF2-40B4-BE49-F238E27FC236}">
              <a16:creationId xmlns:a16="http://schemas.microsoft.com/office/drawing/2014/main" id="{00000000-0008-0000-0200-000049000000}"/>
            </a:ext>
          </a:extLst>
        </xdr:cNvPr>
        <xdr:cNvSpPr txBox="1"/>
      </xdr:nvSpPr>
      <xdr:spPr>
        <a:xfrm>
          <a:off x="8141631" y="1297185"/>
          <a:ext cx="1853687" cy="49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0A457EB-BAAF-406E-8EAA-AA07EC0B9676}" type="TxLink">
            <a:rPr lang="en-US" sz="2800" b="0" i="0" u="none" strike="noStrike">
              <a:solidFill>
                <a:schemeClr val="bg1"/>
              </a:solidFill>
              <a:latin typeface="Aptos Narrow"/>
              <a:ea typeface="+mn-ea"/>
              <a:cs typeface="+mn-cs"/>
            </a:rPr>
            <a:pPr marL="0" indent="0" algn="ctr"/>
            <a:t> 803 </a:t>
          </a:fld>
          <a:endParaRPr lang="ru-RU" sz="2800" b="0" i="0" u="none" strike="noStrike">
            <a:solidFill>
              <a:schemeClr val="bg1"/>
            </a:solidFill>
            <a:latin typeface="Aptos Narrow"/>
            <a:ea typeface="+mn-ea"/>
            <a:cs typeface="+mn-cs"/>
          </a:endParaRPr>
        </a:p>
      </xdr:txBody>
    </xdr:sp>
    <xdr:clientData/>
  </xdr:twoCellAnchor>
  <xdr:twoCellAnchor>
    <xdr:from>
      <xdr:col>0</xdr:col>
      <xdr:colOff>249382</xdr:colOff>
      <xdr:row>9</xdr:row>
      <xdr:rowOff>131617</xdr:rowOff>
    </xdr:from>
    <xdr:to>
      <xdr:col>1</xdr:col>
      <xdr:colOff>512619</xdr:colOff>
      <xdr:row>11</xdr:row>
      <xdr:rowOff>27708</xdr:rowOff>
    </xdr:to>
    <xdr:sp macro="" textlink="">
      <xdr:nvSpPr>
        <xdr:cNvPr id="79" name="TextBox 78">
          <a:extLst>
            <a:ext uri="{FF2B5EF4-FFF2-40B4-BE49-F238E27FC236}">
              <a16:creationId xmlns:a16="http://schemas.microsoft.com/office/drawing/2014/main" id="{00000000-0008-0000-0200-00004F000000}"/>
            </a:ext>
          </a:extLst>
        </xdr:cNvPr>
        <xdr:cNvSpPr txBox="1"/>
      </xdr:nvSpPr>
      <xdr:spPr>
        <a:xfrm>
          <a:off x="249382" y="1752599"/>
          <a:ext cx="872837"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2</xdr:col>
      <xdr:colOff>193964</xdr:colOff>
      <xdr:row>9</xdr:row>
      <xdr:rowOff>131618</xdr:rowOff>
    </xdr:from>
    <xdr:to>
      <xdr:col>3</xdr:col>
      <xdr:colOff>207818</xdr:colOff>
      <xdr:row>11</xdr:row>
      <xdr:rowOff>6927</xdr:rowOff>
    </xdr:to>
    <xdr:sp macro="" textlink="">
      <xdr:nvSpPr>
        <xdr:cNvPr id="81" name="Rectangle: Rounded Corners 80">
          <a:extLst>
            <a:ext uri="{FF2B5EF4-FFF2-40B4-BE49-F238E27FC236}">
              <a16:creationId xmlns:a16="http://schemas.microsoft.com/office/drawing/2014/main" id="{00000000-0008-0000-0200-000051000000}"/>
            </a:ext>
          </a:extLst>
        </xdr:cNvPr>
        <xdr:cNvSpPr/>
      </xdr:nvSpPr>
      <xdr:spPr>
        <a:xfrm>
          <a:off x="1413164" y="1752600"/>
          <a:ext cx="623454" cy="235527"/>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353291</xdr:colOff>
      <xdr:row>9</xdr:row>
      <xdr:rowOff>131617</xdr:rowOff>
    </xdr:from>
    <xdr:to>
      <xdr:col>5</xdr:col>
      <xdr:colOff>6928</xdr:colOff>
      <xdr:row>11</xdr:row>
      <xdr:rowOff>27708</xdr:rowOff>
    </xdr:to>
    <xdr:sp macro="" textlink="">
      <xdr:nvSpPr>
        <xdr:cNvPr id="82" name="TextBox 81">
          <a:extLst>
            <a:ext uri="{FF2B5EF4-FFF2-40B4-BE49-F238E27FC236}">
              <a16:creationId xmlns:a16="http://schemas.microsoft.com/office/drawing/2014/main" id="{00000000-0008-0000-0200-000052000000}"/>
            </a:ext>
          </a:extLst>
        </xdr:cNvPr>
        <xdr:cNvSpPr txBox="1"/>
      </xdr:nvSpPr>
      <xdr:spPr>
        <a:xfrm>
          <a:off x="2182091" y="1752599"/>
          <a:ext cx="872837"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5</xdr:col>
      <xdr:colOff>297873</xdr:colOff>
      <xdr:row>9</xdr:row>
      <xdr:rowOff>131618</xdr:rowOff>
    </xdr:from>
    <xdr:to>
      <xdr:col>6</xdr:col>
      <xdr:colOff>311727</xdr:colOff>
      <xdr:row>11</xdr:row>
      <xdr:rowOff>6927</xdr:rowOff>
    </xdr:to>
    <xdr:sp macro="" textlink="">
      <xdr:nvSpPr>
        <xdr:cNvPr id="83" name="Rectangle: Rounded Corners 82">
          <a:extLst>
            <a:ext uri="{FF2B5EF4-FFF2-40B4-BE49-F238E27FC236}">
              <a16:creationId xmlns:a16="http://schemas.microsoft.com/office/drawing/2014/main" id="{00000000-0008-0000-0200-000053000000}"/>
            </a:ext>
          </a:extLst>
        </xdr:cNvPr>
        <xdr:cNvSpPr/>
      </xdr:nvSpPr>
      <xdr:spPr>
        <a:xfrm>
          <a:off x="3345873" y="1752600"/>
          <a:ext cx="623454" cy="235527"/>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574964</xdr:colOff>
      <xdr:row>9</xdr:row>
      <xdr:rowOff>131617</xdr:rowOff>
    </xdr:from>
    <xdr:to>
      <xdr:col>8</xdr:col>
      <xdr:colOff>228601</xdr:colOff>
      <xdr:row>11</xdr:row>
      <xdr:rowOff>27708</xdr:rowOff>
    </xdr:to>
    <xdr:sp macro="" textlink="">
      <xdr:nvSpPr>
        <xdr:cNvPr id="84" name="TextBox 83">
          <a:extLst>
            <a:ext uri="{FF2B5EF4-FFF2-40B4-BE49-F238E27FC236}">
              <a16:creationId xmlns:a16="http://schemas.microsoft.com/office/drawing/2014/main" id="{00000000-0008-0000-0200-000054000000}"/>
            </a:ext>
          </a:extLst>
        </xdr:cNvPr>
        <xdr:cNvSpPr txBox="1"/>
      </xdr:nvSpPr>
      <xdr:spPr>
        <a:xfrm>
          <a:off x="4232564" y="1752599"/>
          <a:ext cx="872837"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8</xdr:col>
      <xdr:colOff>519546</xdr:colOff>
      <xdr:row>9</xdr:row>
      <xdr:rowOff>131618</xdr:rowOff>
    </xdr:from>
    <xdr:to>
      <xdr:col>9</xdr:col>
      <xdr:colOff>533400</xdr:colOff>
      <xdr:row>11</xdr:row>
      <xdr:rowOff>6927</xdr:rowOff>
    </xdr:to>
    <xdr:sp macro="" textlink="">
      <xdr:nvSpPr>
        <xdr:cNvPr id="85" name="Rectangle: Rounded Corners 84">
          <a:extLst>
            <a:ext uri="{FF2B5EF4-FFF2-40B4-BE49-F238E27FC236}">
              <a16:creationId xmlns:a16="http://schemas.microsoft.com/office/drawing/2014/main" id="{00000000-0008-0000-0200-000055000000}"/>
            </a:ext>
          </a:extLst>
        </xdr:cNvPr>
        <xdr:cNvSpPr/>
      </xdr:nvSpPr>
      <xdr:spPr>
        <a:xfrm>
          <a:off x="5396346" y="1752600"/>
          <a:ext cx="623454" cy="235527"/>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96982</xdr:colOff>
      <xdr:row>9</xdr:row>
      <xdr:rowOff>131617</xdr:rowOff>
    </xdr:from>
    <xdr:to>
      <xdr:col>11</xdr:col>
      <xdr:colOff>360219</xdr:colOff>
      <xdr:row>11</xdr:row>
      <xdr:rowOff>27708</xdr:rowOff>
    </xdr:to>
    <xdr:sp macro="" textlink="">
      <xdr:nvSpPr>
        <xdr:cNvPr id="86" name="TextBox 85">
          <a:extLst>
            <a:ext uri="{FF2B5EF4-FFF2-40B4-BE49-F238E27FC236}">
              <a16:creationId xmlns:a16="http://schemas.microsoft.com/office/drawing/2014/main" id="{00000000-0008-0000-0200-000056000000}"/>
            </a:ext>
          </a:extLst>
        </xdr:cNvPr>
        <xdr:cNvSpPr txBox="1"/>
      </xdr:nvSpPr>
      <xdr:spPr>
        <a:xfrm>
          <a:off x="6192982" y="1752599"/>
          <a:ext cx="872837"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12</xdr:col>
      <xdr:colOff>41564</xdr:colOff>
      <xdr:row>9</xdr:row>
      <xdr:rowOff>131618</xdr:rowOff>
    </xdr:from>
    <xdr:to>
      <xdr:col>13</xdr:col>
      <xdr:colOff>55418</xdr:colOff>
      <xdr:row>11</xdr:row>
      <xdr:rowOff>6927</xdr:rowOff>
    </xdr:to>
    <xdr:sp macro="" textlink="">
      <xdr:nvSpPr>
        <xdr:cNvPr id="87" name="Rectangle: Rounded Corners 86">
          <a:extLst>
            <a:ext uri="{FF2B5EF4-FFF2-40B4-BE49-F238E27FC236}">
              <a16:creationId xmlns:a16="http://schemas.microsoft.com/office/drawing/2014/main" id="{00000000-0008-0000-0200-000057000000}"/>
            </a:ext>
          </a:extLst>
        </xdr:cNvPr>
        <xdr:cNvSpPr/>
      </xdr:nvSpPr>
      <xdr:spPr>
        <a:xfrm>
          <a:off x="7356764" y="1752600"/>
          <a:ext cx="623454" cy="235527"/>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48491</xdr:colOff>
      <xdr:row>9</xdr:row>
      <xdr:rowOff>131617</xdr:rowOff>
    </xdr:from>
    <xdr:to>
      <xdr:col>3</xdr:col>
      <xdr:colOff>311728</xdr:colOff>
      <xdr:row>11</xdr:row>
      <xdr:rowOff>27708</xdr:rowOff>
    </xdr:to>
    <xdr:sp macro="" textlink="Processing!B13">
      <xdr:nvSpPr>
        <xdr:cNvPr id="90" name="TextBox 89">
          <a:extLst>
            <a:ext uri="{FF2B5EF4-FFF2-40B4-BE49-F238E27FC236}">
              <a16:creationId xmlns:a16="http://schemas.microsoft.com/office/drawing/2014/main" id="{00000000-0008-0000-0200-00005A000000}"/>
            </a:ext>
          </a:extLst>
        </xdr:cNvPr>
        <xdr:cNvSpPr txBox="1"/>
      </xdr:nvSpPr>
      <xdr:spPr>
        <a:xfrm>
          <a:off x="1267691" y="1752599"/>
          <a:ext cx="872837"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421D81-285E-47E9-9BFD-3415CF8E9136}" type="TxLink">
            <a:rPr lang="en-US" sz="1000" b="0" i="0" u="none" strike="noStrike">
              <a:solidFill>
                <a:schemeClr val="bg1"/>
              </a:solidFill>
              <a:latin typeface="Calibri"/>
              <a:cs typeface="Calibri"/>
            </a:rPr>
            <a:pPr algn="ctr"/>
            <a:t>▲ 13,27%</a:t>
          </a:fld>
          <a:endParaRPr lang="en-US" sz="800">
            <a:solidFill>
              <a:schemeClr val="bg1"/>
            </a:solidFill>
          </a:endParaRPr>
        </a:p>
      </xdr:txBody>
    </xdr:sp>
    <xdr:clientData/>
  </xdr:twoCellAnchor>
  <xdr:twoCellAnchor>
    <xdr:from>
      <xdr:col>5</xdr:col>
      <xdr:colOff>180109</xdr:colOff>
      <xdr:row>9</xdr:row>
      <xdr:rowOff>131617</xdr:rowOff>
    </xdr:from>
    <xdr:to>
      <xdr:col>6</xdr:col>
      <xdr:colOff>443346</xdr:colOff>
      <xdr:row>11</xdr:row>
      <xdr:rowOff>27708</xdr:rowOff>
    </xdr:to>
    <xdr:sp macro="" textlink="Processing!C13">
      <xdr:nvSpPr>
        <xdr:cNvPr id="91" name="TextBox 90">
          <a:extLst>
            <a:ext uri="{FF2B5EF4-FFF2-40B4-BE49-F238E27FC236}">
              <a16:creationId xmlns:a16="http://schemas.microsoft.com/office/drawing/2014/main" id="{00000000-0008-0000-0200-00005B000000}"/>
            </a:ext>
          </a:extLst>
        </xdr:cNvPr>
        <xdr:cNvSpPr txBox="1"/>
      </xdr:nvSpPr>
      <xdr:spPr>
        <a:xfrm>
          <a:off x="3228109" y="1752599"/>
          <a:ext cx="872837"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BE4D3F-49DE-49FD-9D6A-58DEDF03469B}" type="TxLink">
            <a:rPr lang="en-US" sz="1000" b="0" i="0" u="none" strike="noStrike">
              <a:solidFill>
                <a:schemeClr val="bg1"/>
              </a:solidFill>
              <a:latin typeface="Calibri"/>
              <a:ea typeface="+mn-ea"/>
              <a:cs typeface="Calibri"/>
            </a:rPr>
            <a:pPr marL="0" indent="0" algn="ctr"/>
            <a:t>▲ 15,40%</a:t>
          </a:fld>
          <a:endParaRPr lang="en-US" sz="1000" b="0" i="0" u="none" strike="noStrike">
            <a:solidFill>
              <a:schemeClr val="bg1"/>
            </a:solidFill>
            <a:latin typeface="Calibri"/>
            <a:ea typeface="+mn-ea"/>
            <a:cs typeface="Calibri"/>
          </a:endParaRPr>
        </a:p>
      </xdr:txBody>
    </xdr:sp>
    <xdr:clientData/>
  </xdr:twoCellAnchor>
  <xdr:twoCellAnchor>
    <xdr:from>
      <xdr:col>8</xdr:col>
      <xdr:colOff>387927</xdr:colOff>
      <xdr:row>9</xdr:row>
      <xdr:rowOff>131617</xdr:rowOff>
    </xdr:from>
    <xdr:to>
      <xdr:col>10</xdr:col>
      <xdr:colOff>41564</xdr:colOff>
      <xdr:row>11</xdr:row>
      <xdr:rowOff>27708</xdr:rowOff>
    </xdr:to>
    <xdr:sp macro="" textlink="Processing!D13">
      <xdr:nvSpPr>
        <xdr:cNvPr id="92" name="TextBox 91">
          <a:extLst>
            <a:ext uri="{FF2B5EF4-FFF2-40B4-BE49-F238E27FC236}">
              <a16:creationId xmlns:a16="http://schemas.microsoft.com/office/drawing/2014/main" id="{00000000-0008-0000-0200-00005C000000}"/>
            </a:ext>
          </a:extLst>
        </xdr:cNvPr>
        <xdr:cNvSpPr txBox="1"/>
      </xdr:nvSpPr>
      <xdr:spPr>
        <a:xfrm>
          <a:off x="5264727" y="1752599"/>
          <a:ext cx="872837"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9684377-1574-4452-A507-8EC548A19566}" type="TxLink">
            <a:rPr lang="en-US" sz="1000" b="0" i="0" u="none" strike="noStrike">
              <a:solidFill>
                <a:schemeClr val="bg1"/>
              </a:solidFill>
              <a:latin typeface="Calibri"/>
              <a:ea typeface="+mn-ea"/>
              <a:cs typeface="Calibri"/>
            </a:rPr>
            <a:pPr marL="0" indent="0" algn="ctr"/>
            <a:t>▲ 0,10%</a:t>
          </a:fld>
          <a:endParaRPr lang="en-US" sz="1000" b="0" i="0" u="none" strike="noStrike">
            <a:solidFill>
              <a:schemeClr val="bg1"/>
            </a:solidFill>
            <a:latin typeface="Calibri"/>
            <a:ea typeface="+mn-ea"/>
            <a:cs typeface="Calibri"/>
          </a:endParaRPr>
        </a:p>
      </xdr:txBody>
    </xdr:sp>
    <xdr:clientData/>
  </xdr:twoCellAnchor>
  <xdr:twoCellAnchor>
    <xdr:from>
      <xdr:col>11</xdr:col>
      <xdr:colOff>512618</xdr:colOff>
      <xdr:row>9</xdr:row>
      <xdr:rowOff>131617</xdr:rowOff>
    </xdr:from>
    <xdr:to>
      <xdr:col>13</xdr:col>
      <xdr:colOff>166255</xdr:colOff>
      <xdr:row>11</xdr:row>
      <xdr:rowOff>27708</xdr:rowOff>
    </xdr:to>
    <xdr:sp macro="" textlink="Processing!E13">
      <xdr:nvSpPr>
        <xdr:cNvPr id="93" name="TextBox 92">
          <a:extLst>
            <a:ext uri="{FF2B5EF4-FFF2-40B4-BE49-F238E27FC236}">
              <a16:creationId xmlns:a16="http://schemas.microsoft.com/office/drawing/2014/main" id="{00000000-0008-0000-0200-00005D000000}"/>
            </a:ext>
          </a:extLst>
        </xdr:cNvPr>
        <xdr:cNvSpPr txBox="1"/>
      </xdr:nvSpPr>
      <xdr:spPr>
        <a:xfrm>
          <a:off x="7218218" y="1752599"/>
          <a:ext cx="872837" cy="256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CBD5D7-332B-4B7A-93FA-2787EB84A694}" type="TxLink">
            <a:rPr lang="en-US" sz="1000" b="0" i="0" u="none" strike="noStrike">
              <a:solidFill>
                <a:schemeClr val="bg1"/>
              </a:solidFill>
              <a:latin typeface="Calibri"/>
              <a:ea typeface="+mn-ea"/>
              <a:cs typeface="Calibri"/>
            </a:rPr>
            <a:pPr marL="0" indent="0" algn="ctr"/>
            <a:t>▲ 9,56%</a:t>
          </a:fld>
          <a:endParaRPr lang="en-US" sz="1000" b="0" i="0" u="none" strike="noStrike">
            <a:solidFill>
              <a:schemeClr val="bg1"/>
            </a:solidFill>
            <a:latin typeface="Calibri"/>
            <a:ea typeface="+mn-ea"/>
            <a:cs typeface="Calibri"/>
          </a:endParaRPr>
        </a:p>
      </xdr:txBody>
    </xdr:sp>
    <xdr:clientData/>
  </xdr:twoCellAnchor>
  <xdr:twoCellAnchor>
    <xdr:from>
      <xdr:col>0</xdr:col>
      <xdr:colOff>243199</xdr:colOff>
      <xdr:row>27</xdr:row>
      <xdr:rowOff>75755</xdr:rowOff>
    </xdr:from>
    <xdr:to>
      <xdr:col>7</xdr:col>
      <xdr:colOff>408709</xdr:colOff>
      <xdr:row>36</xdr:row>
      <xdr:rowOff>20337</xdr:rowOff>
    </xdr:to>
    <xdr:graphicFrame macro="">
      <xdr:nvGraphicFramePr>
        <xdr:cNvPr id="97" name="Chart 96">
          <a:extLst>
            <a:ext uri="{FF2B5EF4-FFF2-40B4-BE49-F238E27FC236}">
              <a16:creationId xmlns:a16="http://schemas.microsoft.com/office/drawing/2014/main" id="{00000000-0008-0000-0200-00006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297873</xdr:colOff>
      <xdr:row>13</xdr:row>
      <xdr:rowOff>48491</xdr:rowOff>
    </xdr:from>
    <xdr:to>
      <xdr:col>9</xdr:col>
      <xdr:colOff>13855</xdr:colOff>
      <xdr:row>24</xdr:row>
      <xdr:rowOff>90055</xdr:rowOff>
    </xdr:to>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75025</xdr:colOff>
      <xdr:row>12</xdr:row>
      <xdr:rowOff>16631</xdr:rowOff>
    </xdr:from>
    <xdr:to>
      <xdr:col>6</xdr:col>
      <xdr:colOff>209736</xdr:colOff>
      <xdr:row>14</xdr:row>
      <xdr:rowOff>62346</xdr:rowOff>
    </xdr:to>
    <mc:AlternateContent xmlns:mc="http://schemas.openxmlformats.org/markup-compatibility/2006" xmlns:a14="http://schemas.microsoft.com/office/drawing/2010/main">
      <mc:Choice Requires="a14">
        <xdr:graphicFrame macro="">
          <xdr:nvGraphicFramePr>
            <xdr:cNvPr id="36" name="Years (Order_Date)">
              <a:extLst>
                <a:ext uri="{FF2B5EF4-FFF2-40B4-BE49-F238E27FC236}">
                  <a16:creationId xmlns:a16="http://schemas.microsoft.com/office/drawing/2014/main" id="{00000000-0008-0000-0200-000024000000}"/>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2507832" y="2197769"/>
              <a:ext cx="1351115" cy="409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602673</xdr:colOff>
      <xdr:row>22</xdr:row>
      <xdr:rowOff>148248</xdr:rowOff>
    </xdr:from>
    <xdr:to>
      <xdr:col>8</xdr:col>
      <xdr:colOff>415637</xdr:colOff>
      <xdr:row>24</xdr:row>
      <xdr:rowOff>153790</xdr:rowOff>
    </xdr:to>
    <mc:AlternateContent xmlns:mc="http://schemas.openxmlformats.org/markup-compatibility/2006" xmlns:a14="http://schemas.microsoft.com/office/drawing/2010/main">
      <mc:Choice Requires="a14">
        <xdr:graphicFrame macro="">
          <xdr:nvGraphicFramePr>
            <xdr:cNvPr id="94" name="Months (Order_Date)">
              <a:extLst>
                <a:ext uri="{FF2B5EF4-FFF2-40B4-BE49-F238E27FC236}">
                  <a16:creationId xmlns:a16="http://schemas.microsoft.com/office/drawing/2014/main" id="{00000000-0008-0000-0200-00005E000000}"/>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602673" y="4147000"/>
              <a:ext cx="4678579" cy="369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540327</xdr:colOff>
      <xdr:row>11</xdr:row>
      <xdr:rowOff>127467</xdr:rowOff>
    </xdr:from>
    <xdr:to>
      <xdr:col>8</xdr:col>
      <xdr:colOff>561344</xdr:colOff>
      <xdr:row>14</xdr:row>
      <xdr:rowOff>41563</xdr:rowOff>
    </xdr:to>
    <xdr:graphicFrame macro="">
      <xdr:nvGraphicFramePr>
        <xdr:cNvPr id="11" name="Chart 10">
          <a:extLst>
            <a:ext uri="{FF2B5EF4-FFF2-40B4-BE49-F238E27FC236}">
              <a16:creationId xmlns:a16="http://schemas.microsoft.com/office/drawing/2014/main" id="{00000000-0008-0000-02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403860</xdr:colOff>
          <xdr:row>11</xdr:row>
          <xdr:rowOff>144780</xdr:rowOff>
        </xdr:from>
        <xdr:to>
          <xdr:col>9</xdr:col>
          <xdr:colOff>38100</xdr:colOff>
          <xdr:row>14</xdr:row>
          <xdr:rowOff>53340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xdr:col>
      <xdr:colOff>367145</xdr:colOff>
      <xdr:row>12</xdr:row>
      <xdr:rowOff>83126</xdr:rowOff>
    </xdr:from>
    <xdr:to>
      <xdr:col>8</xdr:col>
      <xdr:colOff>34636</xdr:colOff>
      <xdr:row>13</xdr:row>
      <xdr:rowOff>124690</xdr:rowOff>
    </xdr:to>
    <xdr:sp macro="" textlink="">
      <xdr:nvSpPr>
        <xdr:cNvPr id="12" name="Rectangle 11">
          <a:extLst>
            <a:ext uri="{FF2B5EF4-FFF2-40B4-BE49-F238E27FC236}">
              <a16:creationId xmlns:a16="http://schemas.microsoft.com/office/drawing/2014/main" id="{00000000-0008-0000-0200-00000C000000}"/>
            </a:ext>
          </a:extLst>
        </xdr:cNvPr>
        <xdr:cNvSpPr/>
      </xdr:nvSpPr>
      <xdr:spPr>
        <a:xfrm>
          <a:off x="4634345" y="2244435"/>
          <a:ext cx="277091" cy="221673"/>
        </a:xfrm>
        <a:prstGeom prst="rect">
          <a:avLst/>
        </a:prstGeom>
        <a:solidFill>
          <a:srgbClr val="140C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325581</xdr:colOff>
      <xdr:row>12</xdr:row>
      <xdr:rowOff>10396</xdr:rowOff>
    </xdr:from>
    <xdr:to>
      <xdr:col>1</xdr:col>
      <xdr:colOff>325581</xdr:colOff>
      <xdr:row>13</xdr:row>
      <xdr:rowOff>104607</xdr:rowOff>
    </xdr:to>
    <xdr:sp macro="" textlink="Processing!B33">
      <xdr:nvSpPr>
        <xdr:cNvPr id="13" name="TextBox 12">
          <a:extLst>
            <a:ext uri="{FF2B5EF4-FFF2-40B4-BE49-F238E27FC236}">
              <a16:creationId xmlns:a16="http://schemas.microsoft.com/office/drawing/2014/main" id="{00000000-0008-0000-0200-00000D000000}"/>
            </a:ext>
          </a:extLst>
        </xdr:cNvPr>
        <xdr:cNvSpPr txBox="1"/>
      </xdr:nvSpPr>
      <xdr:spPr>
        <a:xfrm>
          <a:off x="325581" y="2171705"/>
          <a:ext cx="6096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FA7B582-BC61-4D9E-AD81-83C0790D647A}" type="TxLink">
            <a:rPr lang="en-US" sz="1400" b="0" i="1" u="none" strike="noStrike">
              <a:solidFill>
                <a:schemeClr val="bg1"/>
              </a:solidFill>
              <a:latin typeface="Aptos Narrow"/>
              <a:ea typeface="+mn-ea"/>
              <a:cs typeface="+mn-cs"/>
            </a:rPr>
            <a:pPr marL="0" indent="0"/>
            <a:t>Sales</a:t>
          </a:fld>
          <a:endParaRPr lang="ru-RU" sz="1400" b="0" i="1" u="none" strike="noStrike">
            <a:solidFill>
              <a:schemeClr val="bg1"/>
            </a:solidFill>
            <a:latin typeface="Aptos Narrow"/>
            <a:ea typeface="+mn-ea"/>
            <a:cs typeface="+mn-cs"/>
          </a:endParaRPr>
        </a:p>
      </xdr:txBody>
    </xdr:sp>
    <xdr:clientData/>
  </xdr:twoCellAnchor>
  <xdr:twoCellAnchor>
    <xdr:from>
      <xdr:col>1</xdr:col>
      <xdr:colOff>188420</xdr:colOff>
      <xdr:row>12</xdr:row>
      <xdr:rowOff>2776</xdr:rowOff>
    </xdr:from>
    <xdr:to>
      <xdr:col>3</xdr:col>
      <xdr:colOff>25469</xdr:colOff>
      <xdr:row>13</xdr:row>
      <xdr:rowOff>96987</xdr:rowOff>
    </xdr:to>
    <xdr:sp macro="" textlink="Processing!B46">
      <xdr:nvSpPr>
        <xdr:cNvPr id="14" name="TextBox 13">
          <a:extLst>
            <a:ext uri="{FF2B5EF4-FFF2-40B4-BE49-F238E27FC236}">
              <a16:creationId xmlns:a16="http://schemas.microsoft.com/office/drawing/2014/main" id="{00000000-0008-0000-0200-00000E000000}"/>
            </a:ext>
          </a:extLst>
        </xdr:cNvPr>
        <xdr:cNvSpPr txBox="1"/>
      </xdr:nvSpPr>
      <xdr:spPr>
        <a:xfrm>
          <a:off x="798020" y="2164085"/>
          <a:ext cx="1056249"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89C5A9C-979D-44A7-BA4F-E5C121CDD407}" type="TxLink">
            <a:rPr lang="en-US" sz="1600" b="0" i="1" u="none" strike="noStrike">
              <a:solidFill>
                <a:schemeClr val="bg1"/>
              </a:solidFill>
              <a:latin typeface="Aptos Narrow"/>
              <a:ea typeface="+mn-ea"/>
              <a:cs typeface="+mn-cs"/>
            </a:rPr>
            <a:pPr marL="0" indent="0" algn="l"/>
            <a:t> $401 665 </a:t>
          </a:fld>
          <a:endParaRPr lang="ru-RU" sz="1600" b="0" i="1" u="none" strike="noStrike">
            <a:solidFill>
              <a:schemeClr val="bg1"/>
            </a:solidFill>
            <a:latin typeface="Aptos Narrow"/>
            <a:ea typeface="+mn-ea"/>
            <a:cs typeface="+mn-cs"/>
          </a:endParaRPr>
        </a:p>
      </xdr:txBody>
    </xdr:sp>
    <xdr:clientData/>
  </xdr:twoCellAnchor>
  <xdr:twoCellAnchor>
    <xdr:from>
      <xdr:col>17</xdr:col>
      <xdr:colOff>224123</xdr:colOff>
      <xdr:row>19</xdr:row>
      <xdr:rowOff>91943</xdr:rowOff>
    </xdr:from>
    <xdr:to>
      <xdr:col>19</xdr:col>
      <xdr:colOff>600795</xdr:colOff>
      <xdr:row>28</xdr:row>
      <xdr:rowOff>68994</xdr:rowOff>
    </xdr:to>
    <xdr:sp macro="" textlink="">
      <xdr:nvSpPr>
        <xdr:cNvPr id="62" name="Oval 61">
          <a:extLst>
            <a:ext uri="{FF2B5EF4-FFF2-40B4-BE49-F238E27FC236}">
              <a16:creationId xmlns:a16="http://schemas.microsoft.com/office/drawing/2014/main" id="{00000000-0008-0000-0200-00003E000000}"/>
            </a:ext>
          </a:extLst>
        </xdr:cNvPr>
        <xdr:cNvSpPr/>
      </xdr:nvSpPr>
      <xdr:spPr>
        <a:xfrm>
          <a:off x="10563554" y="3545411"/>
          <a:ext cx="1593076" cy="1612904"/>
        </a:xfrm>
        <a:prstGeom prst="ellipse">
          <a:avLst/>
        </a:prstGeom>
        <a:gradFill>
          <a:gsLst>
            <a:gs pos="0">
              <a:srgbClr val="00719C"/>
            </a:gs>
            <a:gs pos="97000">
              <a:srgbClr val="003950"/>
            </a:gs>
          </a:gsLst>
          <a:path path="circle">
            <a:fillToRect r="100000" b="100000"/>
          </a:path>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384496</xdr:colOff>
      <xdr:row>17</xdr:row>
      <xdr:rowOff>65064</xdr:rowOff>
    </xdr:from>
    <xdr:to>
      <xdr:col>20</xdr:col>
      <xdr:colOff>440422</xdr:colOff>
      <xdr:row>30</xdr:row>
      <xdr:rowOff>95873</xdr:rowOff>
    </xdr:to>
    <xdr:grpSp>
      <xdr:nvGrpSpPr>
        <xdr:cNvPr id="2083" name="Group 2082">
          <a:extLst>
            <a:ext uri="{FF2B5EF4-FFF2-40B4-BE49-F238E27FC236}">
              <a16:creationId xmlns:a16="http://schemas.microsoft.com/office/drawing/2014/main" id="{00000000-0008-0000-0200-000023080000}"/>
            </a:ext>
          </a:extLst>
        </xdr:cNvPr>
        <xdr:cNvGrpSpPr/>
      </xdr:nvGrpSpPr>
      <xdr:grpSpPr>
        <a:xfrm>
          <a:off x="10115725" y="3155009"/>
          <a:ext cx="2488734" cy="2393708"/>
          <a:chOff x="11592747" y="3745665"/>
          <a:chExt cx="2600448" cy="2501157"/>
        </a:xfrm>
      </xdr:grpSpPr>
      <xdr:graphicFrame macro="">
        <xdr:nvGraphicFramePr>
          <xdr:cNvPr id="63" name="Chart 62">
            <a:extLst>
              <a:ext uri="{FF2B5EF4-FFF2-40B4-BE49-F238E27FC236}">
                <a16:creationId xmlns:a16="http://schemas.microsoft.com/office/drawing/2014/main" id="{00000000-0008-0000-0200-00003F000000}"/>
              </a:ext>
            </a:extLst>
          </xdr:cNvPr>
          <xdr:cNvGraphicFramePr/>
        </xdr:nvGraphicFramePr>
        <xdr:xfrm>
          <a:off x="11793915" y="3884477"/>
          <a:ext cx="2198112" cy="2223533"/>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4" name="Chart 73">
            <a:extLst>
              <a:ext uri="{FF2B5EF4-FFF2-40B4-BE49-F238E27FC236}">
                <a16:creationId xmlns:a16="http://schemas.microsoft.com/office/drawing/2014/main" id="{00000000-0008-0000-0200-00004A000000}"/>
              </a:ext>
            </a:extLst>
          </xdr:cNvPr>
          <xdr:cNvGraphicFramePr/>
        </xdr:nvGraphicFramePr>
        <xdr:xfrm>
          <a:off x="11592747" y="3745665"/>
          <a:ext cx="2600448" cy="2501157"/>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17</xdr:col>
      <xdr:colOff>467298</xdr:colOff>
      <xdr:row>20</xdr:row>
      <xdr:rowOff>157189</xdr:rowOff>
    </xdr:from>
    <xdr:to>
      <xdr:col>19</xdr:col>
      <xdr:colOff>357619</xdr:colOff>
      <xdr:row>27</xdr:row>
      <xdr:rowOff>3748</xdr:rowOff>
    </xdr:to>
    <xdr:sp macro="" textlink="Processing!B64">
      <xdr:nvSpPr>
        <xdr:cNvPr id="75" name="Овал 12">
          <a:extLst>
            <a:ext uri="{FF2B5EF4-FFF2-40B4-BE49-F238E27FC236}">
              <a16:creationId xmlns:a16="http://schemas.microsoft.com/office/drawing/2014/main" id="{00000000-0008-0000-0200-00004B000000}"/>
            </a:ext>
          </a:extLst>
        </xdr:cNvPr>
        <xdr:cNvSpPr/>
      </xdr:nvSpPr>
      <xdr:spPr>
        <a:xfrm>
          <a:off x="10806729" y="3792418"/>
          <a:ext cx="1106725" cy="1118890"/>
        </a:xfrm>
        <a:prstGeom prst="ellipse">
          <a:avLst/>
        </a:prstGeom>
        <a:gradFill flip="none" rotWithShape="1">
          <a:gsLst>
            <a:gs pos="47000">
              <a:srgbClr val="25313F"/>
            </a:gs>
            <a:gs pos="56000">
              <a:srgbClr val="1C2530"/>
            </a:gs>
            <a:gs pos="100000">
              <a:srgbClr val="262626">
                <a:alpha val="0"/>
              </a:srgb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0A3A29F-92D9-4057-9E2B-1D5EADD1F0B0}" type="TxLink">
            <a:rPr lang="en-US" sz="1800" b="0" i="0" u="none" strike="noStrike">
              <a:solidFill>
                <a:schemeClr val="bg1"/>
              </a:solidFill>
              <a:latin typeface="Calibri"/>
              <a:ea typeface="+mn-ea"/>
              <a:cs typeface="Calibri"/>
            </a:rPr>
            <a:pPr marL="0" indent="0" algn="ctr"/>
            <a:t>$402K</a:t>
          </a:fld>
          <a:endParaRPr lang="en-US" sz="1800" b="0" i="0" u="none" strike="noStrike">
            <a:solidFill>
              <a:schemeClr val="bg1"/>
            </a:solidFill>
            <a:latin typeface="Calibri"/>
            <a:ea typeface="+mn-ea"/>
            <a:cs typeface="Calibri"/>
          </a:endParaRPr>
        </a:p>
      </xdr:txBody>
    </xdr:sp>
    <xdr:clientData/>
  </xdr:twoCellAnchor>
  <xdr:twoCellAnchor>
    <xdr:from>
      <xdr:col>16</xdr:col>
      <xdr:colOff>477458</xdr:colOff>
      <xdr:row>29</xdr:row>
      <xdr:rowOff>89355</xdr:rowOff>
    </xdr:from>
    <xdr:to>
      <xdr:col>18</xdr:col>
      <xdr:colOff>269271</xdr:colOff>
      <xdr:row>31</xdr:row>
      <xdr:rowOff>64417</xdr:rowOff>
    </xdr:to>
    <xdr:sp macro="" textlink="Processing!A60">
      <xdr:nvSpPr>
        <xdr:cNvPr id="78" name="TextBox 77">
          <a:extLst>
            <a:ext uri="{FF2B5EF4-FFF2-40B4-BE49-F238E27FC236}">
              <a16:creationId xmlns:a16="http://schemas.microsoft.com/office/drawing/2014/main" id="{00000000-0008-0000-0200-00004E000000}"/>
            </a:ext>
          </a:extLst>
        </xdr:cNvPr>
        <xdr:cNvSpPr txBox="1"/>
      </xdr:nvSpPr>
      <xdr:spPr>
        <a:xfrm>
          <a:off x="10208687" y="5360438"/>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D27F17-C70F-4B58-A09F-BE93BB1D6B86}" type="TxLink">
            <a:rPr lang="en-US" sz="1100" b="0" i="0" u="none" strike="noStrike">
              <a:solidFill>
                <a:schemeClr val="tx2">
                  <a:lumMod val="60000"/>
                  <a:lumOff val="40000"/>
                </a:schemeClr>
              </a:solidFill>
              <a:latin typeface="Calibri"/>
              <a:ea typeface="+mn-ea"/>
              <a:cs typeface="Calibri"/>
            </a:rPr>
            <a:pPr marL="0" indent="0"/>
            <a:t>Consumer</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16</xdr:col>
      <xdr:colOff>477458</xdr:colOff>
      <xdr:row>31</xdr:row>
      <xdr:rowOff>28857</xdr:rowOff>
    </xdr:from>
    <xdr:to>
      <xdr:col>18</xdr:col>
      <xdr:colOff>269271</xdr:colOff>
      <xdr:row>33</xdr:row>
      <xdr:rowOff>3920</xdr:rowOff>
    </xdr:to>
    <xdr:sp macro="" textlink="Processing!A61">
      <xdr:nvSpPr>
        <xdr:cNvPr id="80" name="TextBox 79">
          <a:extLst>
            <a:ext uri="{FF2B5EF4-FFF2-40B4-BE49-F238E27FC236}">
              <a16:creationId xmlns:a16="http://schemas.microsoft.com/office/drawing/2014/main" id="{00000000-0008-0000-0200-000050000000}"/>
            </a:ext>
          </a:extLst>
        </xdr:cNvPr>
        <xdr:cNvSpPr txBox="1"/>
      </xdr:nvSpPr>
      <xdr:spPr>
        <a:xfrm>
          <a:off x="10208687" y="5663463"/>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EA69B69-DDE5-4880-B7F3-B81E938A648E}" type="TxLink">
            <a:rPr lang="en-US" sz="1100" b="0" i="0" u="none" strike="noStrike">
              <a:solidFill>
                <a:schemeClr val="tx2">
                  <a:lumMod val="60000"/>
                  <a:lumOff val="40000"/>
                </a:schemeClr>
              </a:solidFill>
              <a:latin typeface="Calibri"/>
              <a:ea typeface="+mn-ea"/>
              <a:cs typeface="Calibri"/>
            </a:rPr>
            <a:pPr marL="0" indent="0"/>
            <a:t>Corporate</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16</xdr:col>
      <xdr:colOff>477458</xdr:colOff>
      <xdr:row>32</xdr:row>
      <xdr:rowOff>150121</xdr:rowOff>
    </xdr:from>
    <xdr:to>
      <xdr:col>18</xdr:col>
      <xdr:colOff>269271</xdr:colOff>
      <xdr:row>34</xdr:row>
      <xdr:rowOff>125183</xdr:rowOff>
    </xdr:to>
    <xdr:sp macro="" textlink="Processing!A62">
      <xdr:nvSpPr>
        <xdr:cNvPr id="88" name="TextBox 87">
          <a:extLst>
            <a:ext uri="{FF2B5EF4-FFF2-40B4-BE49-F238E27FC236}">
              <a16:creationId xmlns:a16="http://schemas.microsoft.com/office/drawing/2014/main" id="{00000000-0008-0000-0200-000058000000}"/>
            </a:ext>
          </a:extLst>
        </xdr:cNvPr>
        <xdr:cNvSpPr txBox="1"/>
      </xdr:nvSpPr>
      <xdr:spPr>
        <a:xfrm>
          <a:off x="10208687" y="5966488"/>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CE2048-4EAA-48C7-9487-E83B6DDB333B}" type="TxLink">
            <a:rPr lang="en-US" sz="1100" b="0" i="0" u="none" strike="noStrike">
              <a:solidFill>
                <a:schemeClr val="tx2">
                  <a:lumMod val="60000"/>
                  <a:lumOff val="40000"/>
                </a:schemeClr>
              </a:solidFill>
              <a:latin typeface="Calibri"/>
              <a:ea typeface="+mn-ea"/>
              <a:cs typeface="Calibri"/>
            </a:rPr>
            <a:pPr marL="0" indent="0"/>
            <a:t>Enterprise</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16</xdr:col>
      <xdr:colOff>477458</xdr:colOff>
      <xdr:row>34</xdr:row>
      <xdr:rowOff>87970</xdr:rowOff>
    </xdr:from>
    <xdr:to>
      <xdr:col>18</xdr:col>
      <xdr:colOff>269271</xdr:colOff>
      <xdr:row>36</xdr:row>
      <xdr:rowOff>63032</xdr:rowOff>
    </xdr:to>
    <xdr:sp macro="" textlink="Processing!A63">
      <xdr:nvSpPr>
        <xdr:cNvPr id="89" name="TextBox 88">
          <a:extLst>
            <a:ext uri="{FF2B5EF4-FFF2-40B4-BE49-F238E27FC236}">
              <a16:creationId xmlns:a16="http://schemas.microsoft.com/office/drawing/2014/main" id="{00000000-0008-0000-0200-000059000000}"/>
            </a:ext>
          </a:extLst>
        </xdr:cNvPr>
        <xdr:cNvSpPr txBox="1"/>
      </xdr:nvSpPr>
      <xdr:spPr>
        <a:xfrm>
          <a:off x="10208687" y="6267860"/>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870A57-CD64-4F98-8518-0CD41AD7C3AD}" type="TxLink">
            <a:rPr lang="en-US" sz="1100" b="0" i="0" u="none" strike="noStrike">
              <a:solidFill>
                <a:schemeClr val="tx2">
                  <a:lumMod val="60000"/>
                  <a:lumOff val="40000"/>
                </a:schemeClr>
              </a:solidFill>
              <a:latin typeface="Calibri"/>
              <a:ea typeface="+mn-ea"/>
              <a:cs typeface="Calibri"/>
            </a:rPr>
            <a:pPr marL="0" indent="0"/>
            <a:t>Retail</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383010</xdr:colOff>
      <xdr:row>29</xdr:row>
      <xdr:rowOff>89355</xdr:rowOff>
    </xdr:from>
    <xdr:to>
      <xdr:col>19</xdr:col>
      <xdr:colOff>344100</xdr:colOff>
      <xdr:row>31</xdr:row>
      <xdr:rowOff>64417</xdr:rowOff>
    </xdr:to>
    <xdr:sp macro="" textlink="Processing!C60">
      <xdr:nvSpPr>
        <xdr:cNvPr id="95" name="TextBox 94">
          <a:extLst>
            <a:ext uri="{FF2B5EF4-FFF2-40B4-BE49-F238E27FC236}">
              <a16:creationId xmlns:a16="http://schemas.microsoft.com/office/drawing/2014/main" id="{00000000-0008-0000-0200-00005F000000}"/>
            </a:ext>
          </a:extLst>
        </xdr:cNvPr>
        <xdr:cNvSpPr txBox="1"/>
      </xdr:nvSpPr>
      <xdr:spPr>
        <a:xfrm>
          <a:off x="11330643" y="5360438"/>
          <a:ext cx="56929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92E178-FBCD-421A-B159-9E9855096651}" type="TxLink">
            <a:rPr lang="en-US" sz="1100" b="0" i="0" u="none" strike="noStrike">
              <a:solidFill>
                <a:schemeClr val="tx2">
                  <a:lumMod val="60000"/>
                  <a:lumOff val="40000"/>
                </a:schemeClr>
              </a:solidFill>
              <a:latin typeface="Calibri"/>
              <a:ea typeface="+mn-ea"/>
              <a:cs typeface="Calibri"/>
            </a:rPr>
            <a:pPr marL="0" indent="0"/>
            <a:t>20%</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383010</xdr:colOff>
      <xdr:row>31</xdr:row>
      <xdr:rowOff>28857</xdr:rowOff>
    </xdr:from>
    <xdr:to>
      <xdr:col>19</xdr:col>
      <xdr:colOff>344100</xdr:colOff>
      <xdr:row>33</xdr:row>
      <xdr:rowOff>3920</xdr:rowOff>
    </xdr:to>
    <xdr:sp macro="" textlink="Processing!C61">
      <xdr:nvSpPr>
        <xdr:cNvPr id="96" name="TextBox 95">
          <a:extLst>
            <a:ext uri="{FF2B5EF4-FFF2-40B4-BE49-F238E27FC236}">
              <a16:creationId xmlns:a16="http://schemas.microsoft.com/office/drawing/2014/main" id="{00000000-0008-0000-0200-000060000000}"/>
            </a:ext>
          </a:extLst>
        </xdr:cNvPr>
        <xdr:cNvSpPr txBox="1"/>
      </xdr:nvSpPr>
      <xdr:spPr>
        <a:xfrm>
          <a:off x="11330643" y="5663463"/>
          <a:ext cx="56929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79165DD-E9EE-4FAB-B3D1-78A552E70503}" type="TxLink">
            <a:rPr lang="en-US" sz="1100" b="0" i="0" u="none" strike="noStrike">
              <a:solidFill>
                <a:schemeClr val="tx2">
                  <a:lumMod val="60000"/>
                  <a:lumOff val="40000"/>
                </a:schemeClr>
              </a:solidFill>
              <a:latin typeface="Calibri"/>
              <a:ea typeface="+mn-ea"/>
              <a:cs typeface="Calibri"/>
            </a:rPr>
            <a:pPr marL="0" indent="0"/>
            <a:t>21%</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383010</xdr:colOff>
      <xdr:row>32</xdr:row>
      <xdr:rowOff>150121</xdr:rowOff>
    </xdr:from>
    <xdr:to>
      <xdr:col>19</xdr:col>
      <xdr:colOff>344100</xdr:colOff>
      <xdr:row>34</xdr:row>
      <xdr:rowOff>125183</xdr:rowOff>
    </xdr:to>
    <xdr:sp macro="" textlink="Processing!C62">
      <xdr:nvSpPr>
        <xdr:cNvPr id="98" name="TextBox 97">
          <a:extLst>
            <a:ext uri="{FF2B5EF4-FFF2-40B4-BE49-F238E27FC236}">
              <a16:creationId xmlns:a16="http://schemas.microsoft.com/office/drawing/2014/main" id="{00000000-0008-0000-0200-000062000000}"/>
            </a:ext>
          </a:extLst>
        </xdr:cNvPr>
        <xdr:cNvSpPr txBox="1"/>
      </xdr:nvSpPr>
      <xdr:spPr>
        <a:xfrm>
          <a:off x="11330643" y="5966488"/>
          <a:ext cx="56929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D21D42B-74F5-410B-BA08-470EF0498875}" type="TxLink">
            <a:rPr lang="en-US" sz="1100" b="0" i="0" u="none" strike="noStrike">
              <a:solidFill>
                <a:schemeClr val="tx2">
                  <a:lumMod val="60000"/>
                  <a:lumOff val="40000"/>
                </a:schemeClr>
              </a:solidFill>
              <a:latin typeface="Calibri"/>
              <a:ea typeface="+mn-ea"/>
              <a:cs typeface="Calibri"/>
            </a:rPr>
            <a:pPr marL="0" indent="0"/>
            <a:t>19%</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383010</xdr:colOff>
      <xdr:row>34</xdr:row>
      <xdr:rowOff>87970</xdr:rowOff>
    </xdr:from>
    <xdr:to>
      <xdr:col>19</xdr:col>
      <xdr:colOff>344100</xdr:colOff>
      <xdr:row>36</xdr:row>
      <xdr:rowOff>63032</xdr:rowOff>
    </xdr:to>
    <xdr:sp macro="" textlink="Processing!C63">
      <xdr:nvSpPr>
        <xdr:cNvPr id="99" name="TextBox 98">
          <a:extLst>
            <a:ext uri="{FF2B5EF4-FFF2-40B4-BE49-F238E27FC236}">
              <a16:creationId xmlns:a16="http://schemas.microsoft.com/office/drawing/2014/main" id="{00000000-0008-0000-0200-000063000000}"/>
            </a:ext>
          </a:extLst>
        </xdr:cNvPr>
        <xdr:cNvSpPr txBox="1"/>
      </xdr:nvSpPr>
      <xdr:spPr>
        <a:xfrm>
          <a:off x="11330643" y="6267860"/>
          <a:ext cx="56929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1D78073-B69F-401E-88AB-D617FEE82B09}" type="TxLink">
            <a:rPr lang="en-US" sz="1100" b="0" i="0" u="none" strike="noStrike">
              <a:solidFill>
                <a:schemeClr val="tx2">
                  <a:lumMod val="60000"/>
                  <a:lumOff val="40000"/>
                </a:schemeClr>
              </a:solidFill>
              <a:latin typeface="Calibri"/>
              <a:ea typeface="+mn-ea"/>
              <a:cs typeface="Calibri"/>
            </a:rPr>
            <a:pPr marL="0" indent="0"/>
            <a:t>40%</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264098</xdr:colOff>
      <xdr:row>29</xdr:row>
      <xdr:rowOff>89355</xdr:rowOff>
    </xdr:from>
    <xdr:to>
      <xdr:col>20</xdr:col>
      <xdr:colOff>487058</xdr:colOff>
      <xdr:row>31</xdr:row>
      <xdr:rowOff>64417</xdr:rowOff>
    </xdr:to>
    <xdr:sp macro="" textlink="Processing!B60">
      <xdr:nvSpPr>
        <xdr:cNvPr id="100" name="TextBox 99">
          <a:extLst>
            <a:ext uri="{FF2B5EF4-FFF2-40B4-BE49-F238E27FC236}">
              <a16:creationId xmlns:a16="http://schemas.microsoft.com/office/drawing/2014/main" id="{00000000-0008-0000-0200-000064000000}"/>
            </a:ext>
          </a:extLst>
        </xdr:cNvPr>
        <xdr:cNvSpPr txBox="1"/>
      </xdr:nvSpPr>
      <xdr:spPr>
        <a:xfrm>
          <a:off x="11819933" y="5360438"/>
          <a:ext cx="83116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3DE8292D-29C8-4593-A571-35CBCA60A324}" type="TxLink">
            <a:rPr lang="en-US" sz="1100" b="0" i="0" u="none" strike="noStrike">
              <a:solidFill>
                <a:schemeClr val="tx2">
                  <a:lumMod val="60000"/>
                  <a:lumOff val="40000"/>
                </a:schemeClr>
              </a:solidFill>
              <a:latin typeface="Calibri"/>
              <a:ea typeface="+mn-ea"/>
              <a:cs typeface="Calibri"/>
            </a:rPr>
            <a:pPr marL="0" indent="0" algn="r"/>
            <a:t> $79 124 </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256478</xdr:colOff>
      <xdr:row>31</xdr:row>
      <xdr:rowOff>28857</xdr:rowOff>
    </xdr:from>
    <xdr:to>
      <xdr:col>20</xdr:col>
      <xdr:colOff>487058</xdr:colOff>
      <xdr:row>33</xdr:row>
      <xdr:rowOff>3920</xdr:rowOff>
    </xdr:to>
    <xdr:sp macro="" textlink="Processing!B61">
      <xdr:nvSpPr>
        <xdr:cNvPr id="101" name="TextBox 100">
          <a:extLst>
            <a:ext uri="{FF2B5EF4-FFF2-40B4-BE49-F238E27FC236}">
              <a16:creationId xmlns:a16="http://schemas.microsoft.com/office/drawing/2014/main" id="{00000000-0008-0000-0200-000065000000}"/>
            </a:ext>
          </a:extLst>
        </xdr:cNvPr>
        <xdr:cNvSpPr txBox="1"/>
      </xdr:nvSpPr>
      <xdr:spPr>
        <a:xfrm>
          <a:off x="11812313" y="5663463"/>
          <a:ext cx="83878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7F38A6D1-4B9C-4452-A8EE-B0D85888E2CE}" type="TxLink">
            <a:rPr lang="en-US" sz="1100" b="0" i="0" u="none" strike="noStrike">
              <a:solidFill>
                <a:schemeClr val="tx2">
                  <a:lumMod val="60000"/>
                  <a:lumOff val="40000"/>
                </a:schemeClr>
              </a:solidFill>
              <a:latin typeface="Calibri"/>
              <a:ea typeface="+mn-ea"/>
              <a:cs typeface="Calibri"/>
            </a:rPr>
            <a:pPr marL="0" indent="0" algn="r"/>
            <a:t> $85 563 </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225998</xdr:colOff>
      <xdr:row>32</xdr:row>
      <xdr:rowOff>150121</xdr:rowOff>
    </xdr:from>
    <xdr:to>
      <xdr:col>20</xdr:col>
      <xdr:colOff>487058</xdr:colOff>
      <xdr:row>34</xdr:row>
      <xdr:rowOff>125183</xdr:rowOff>
    </xdr:to>
    <xdr:sp macro="" textlink="Processing!B62">
      <xdr:nvSpPr>
        <xdr:cNvPr id="102" name="TextBox 101">
          <a:extLst>
            <a:ext uri="{FF2B5EF4-FFF2-40B4-BE49-F238E27FC236}">
              <a16:creationId xmlns:a16="http://schemas.microsoft.com/office/drawing/2014/main" id="{00000000-0008-0000-0200-000066000000}"/>
            </a:ext>
          </a:extLst>
        </xdr:cNvPr>
        <xdr:cNvSpPr txBox="1"/>
      </xdr:nvSpPr>
      <xdr:spPr>
        <a:xfrm>
          <a:off x="11781833" y="5966488"/>
          <a:ext cx="86926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FC5DA05C-AADF-4200-AFBA-94A6CEC2DBE8}" type="TxLink">
            <a:rPr lang="en-US" sz="1100" b="0" i="0" u="none" strike="noStrike">
              <a:solidFill>
                <a:schemeClr val="tx2">
                  <a:lumMod val="60000"/>
                  <a:lumOff val="40000"/>
                </a:schemeClr>
              </a:solidFill>
              <a:latin typeface="Calibri"/>
              <a:ea typeface="+mn-ea"/>
              <a:cs typeface="Calibri"/>
            </a:rPr>
            <a:pPr marL="0" indent="0" algn="r"/>
            <a:t> $75 438 </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225998</xdr:colOff>
      <xdr:row>34</xdr:row>
      <xdr:rowOff>87970</xdr:rowOff>
    </xdr:from>
    <xdr:to>
      <xdr:col>20</xdr:col>
      <xdr:colOff>487058</xdr:colOff>
      <xdr:row>36</xdr:row>
      <xdr:rowOff>63032</xdr:rowOff>
    </xdr:to>
    <xdr:sp macro="" textlink="Processing!B63">
      <xdr:nvSpPr>
        <xdr:cNvPr id="103" name="TextBox 102">
          <a:extLst>
            <a:ext uri="{FF2B5EF4-FFF2-40B4-BE49-F238E27FC236}">
              <a16:creationId xmlns:a16="http://schemas.microsoft.com/office/drawing/2014/main" id="{00000000-0008-0000-0200-000067000000}"/>
            </a:ext>
          </a:extLst>
        </xdr:cNvPr>
        <xdr:cNvSpPr txBox="1"/>
      </xdr:nvSpPr>
      <xdr:spPr>
        <a:xfrm>
          <a:off x="11781833" y="6267860"/>
          <a:ext cx="86926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21CD45A7-6694-4D40-9404-5EC1D427075C}" type="TxLink">
            <a:rPr lang="en-US" sz="1100" b="0" i="0" u="none" strike="noStrike">
              <a:solidFill>
                <a:schemeClr val="tx2">
                  <a:lumMod val="60000"/>
                  <a:lumOff val="40000"/>
                </a:schemeClr>
              </a:solidFill>
              <a:latin typeface="Calibri"/>
              <a:ea typeface="+mn-ea"/>
              <a:cs typeface="Calibri"/>
            </a:rPr>
            <a:pPr marL="0" indent="0" algn="r"/>
            <a:t> $161 540 </a:t>
          </a:fld>
          <a:endParaRPr lang="ru-RU" sz="1100" b="0" i="0" u="none" strike="noStrike">
            <a:solidFill>
              <a:schemeClr val="tx2">
                <a:lumMod val="60000"/>
                <a:lumOff val="40000"/>
              </a:schemeClr>
            </a:solidFill>
            <a:latin typeface="Calibri"/>
            <a:ea typeface="+mn-ea"/>
            <a:cs typeface="Calibri"/>
          </a:endParaRPr>
        </a:p>
      </xdr:txBody>
    </xdr:sp>
    <xdr:clientData/>
  </xdr:twoCellAnchor>
  <xdr:twoCellAnchor>
    <xdr:from>
      <xdr:col>16</xdr:col>
      <xdr:colOff>559944</xdr:colOff>
      <xdr:row>31</xdr:row>
      <xdr:rowOff>14479</xdr:rowOff>
    </xdr:from>
    <xdr:to>
      <xdr:col>20</xdr:col>
      <xdr:colOff>407544</xdr:colOff>
      <xdr:row>31</xdr:row>
      <xdr:rowOff>14479</xdr:rowOff>
    </xdr:to>
    <xdr:cxnSp macro="">
      <xdr:nvCxnSpPr>
        <xdr:cNvPr id="104" name="Straight Connector 103">
          <a:extLst>
            <a:ext uri="{FF2B5EF4-FFF2-40B4-BE49-F238E27FC236}">
              <a16:creationId xmlns:a16="http://schemas.microsoft.com/office/drawing/2014/main" id="{00000000-0008-0000-0200-000068000000}"/>
            </a:ext>
          </a:extLst>
        </xdr:cNvPr>
        <xdr:cNvCxnSpPr/>
      </xdr:nvCxnSpPr>
      <xdr:spPr>
        <a:xfrm>
          <a:off x="10291173" y="5649085"/>
          <a:ext cx="2280408" cy="0"/>
        </a:xfrm>
        <a:prstGeom prst="line">
          <a:avLst/>
        </a:prstGeom>
        <a:ln>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559944</xdr:colOff>
      <xdr:row>32</xdr:row>
      <xdr:rowOff>136284</xdr:rowOff>
    </xdr:from>
    <xdr:to>
      <xdr:col>20</xdr:col>
      <xdr:colOff>407544</xdr:colOff>
      <xdr:row>32</xdr:row>
      <xdr:rowOff>136284</xdr:rowOff>
    </xdr:to>
    <xdr:cxnSp macro="">
      <xdr:nvCxnSpPr>
        <xdr:cNvPr id="105" name="Straight Connector 104">
          <a:extLst>
            <a:ext uri="{FF2B5EF4-FFF2-40B4-BE49-F238E27FC236}">
              <a16:creationId xmlns:a16="http://schemas.microsoft.com/office/drawing/2014/main" id="{00000000-0008-0000-0200-000069000000}"/>
            </a:ext>
          </a:extLst>
        </xdr:cNvPr>
        <xdr:cNvCxnSpPr/>
      </xdr:nvCxnSpPr>
      <xdr:spPr>
        <a:xfrm>
          <a:off x="10291173" y="5952651"/>
          <a:ext cx="2280408" cy="0"/>
        </a:xfrm>
        <a:prstGeom prst="line">
          <a:avLst/>
        </a:prstGeom>
        <a:ln>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559944</xdr:colOff>
      <xdr:row>34</xdr:row>
      <xdr:rowOff>74673</xdr:rowOff>
    </xdr:from>
    <xdr:to>
      <xdr:col>20</xdr:col>
      <xdr:colOff>407544</xdr:colOff>
      <xdr:row>34</xdr:row>
      <xdr:rowOff>74673</xdr:rowOff>
    </xdr:to>
    <xdr:cxnSp macro="">
      <xdr:nvCxnSpPr>
        <xdr:cNvPr id="106" name="Straight Connector 105">
          <a:extLst>
            <a:ext uri="{FF2B5EF4-FFF2-40B4-BE49-F238E27FC236}">
              <a16:creationId xmlns:a16="http://schemas.microsoft.com/office/drawing/2014/main" id="{00000000-0008-0000-0200-00006A000000}"/>
            </a:ext>
          </a:extLst>
        </xdr:cNvPr>
        <xdr:cNvCxnSpPr/>
      </xdr:nvCxnSpPr>
      <xdr:spPr>
        <a:xfrm>
          <a:off x="10291173" y="6254563"/>
          <a:ext cx="2280408" cy="0"/>
        </a:xfrm>
        <a:prstGeom prst="line">
          <a:avLst/>
        </a:prstGeom>
        <a:ln>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408708</xdr:colOff>
      <xdr:row>17</xdr:row>
      <xdr:rowOff>92825</xdr:rowOff>
    </xdr:from>
    <xdr:to>
      <xdr:col>20</xdr:col>
      <xdr:colOff>258659</xdr:colOff>
      <xdr:row>20</xdr:row>
      <xdr:rowOff>111790</xdr:rowOff>
    </xdr:to>
    <xdr:sp macro="" textlink="Processing!A59">
      <xdr:nvSpPr>
        <xdr:cNvPr id="107" name="TextBox 106">
          <a:extLst>
            <a:ext uri="{FF2B5EF4-FFF2-40B4-BE49-F238E27FC236}">
              <a16:creationId xmlns:a16="http://schemas.microsoft.com/office/drawing/2014/main" id="{00000000-0008-0000-0200-00006B000000}"/>
            </a:ext>
          </a:extLst>
        </xdr:cNvPr>
        <xdr:cNvSpPr txBox="1"/>
      </xdr:nvSpPr>
      <xdr:spPr>
        <a:xfrm>
          <a:off x="10139937" y="3182770"/>
          <a:ext cx="2282759" cy="56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FEB1C1-458D-48B4-B2C5-9945C762B648}" type="TxLink">
            <a:rPr lang="en-US" sz="1400" b="0" i="1" u="none" strike="noStrike">
              <a:solidFill>
                <a:schemeClr val="bg1"/>
              </a:solidFill>
              <a:latin typeface="Aptos Narrow"/>
              <a:ea typeface="+mn-ea"/>
              <a:cs typeface="+mn-cs"/>
            </a:rPr>
            <a:pPr marL="0" indent="0"/>
            <a:t>Revenue by Department</a:t>
          </a:fld>
          <a:endParaRPr lang="ru-RU" sz="1400" b="0" i="1" u="none" strike="noStrike">
            <a:solidFill>
              <a:schemeClr val="bg1"/>
            </a:solidFill>
            <a:latin typeface="Aptos Narrow"/>
            <a:ea typeface="+mn-ea"/>
            <a:cs typeface="+mn-cs"/>
          </a:endParaRPr>
        </a:p>
      </xdr:txBody>
    </xdr:sp>
    <xdr:clientData/>
  </xdr:twoCellAnchor>
  <xdr:twoCellAnchor>
    <xdr:from>
      <xdr:col>9</xdr:col>
      <xdr:colOff>311726</xdr:colOff>
      <xdr:row>14</xdr:row>
      <xdr:rowOff>145216</xdr:rowOff>
    </xdr:from>
    <xdr:to>
      <xdr:col>12</xdr:col>
      <xdr:colOff>37406</xdr:colOff>
      <xdr:row>23</xdr:row>
      <xdr:rowOff>107500</xdr:rowOff>
    </xdr:to>
    <xdr:sp macro="" textlink="">
      <xdr:nvSpPr>
        <xdr:cNvPr id="110" name="Oval 109">
          <a:extLst>
            <a:ext uri="{FF2B5EF4-FFF2-40B4-BE49-F238E27FC236}">
              <a16:creationId xmlns:a16="http://schemas.microsoft.com/office/drawing/2014/main" id="{00000000-0008-0000-0200-00006E000000}"/>
            </a:ext>
          </a:extLst>
        </xdr:cNvPr>
        <xdr:cNvSpPr/>
      </xdr:nvSpPr>
      <xdr:spPr>
        <a:xfrm>
          <a:off x="5798126" y="2666743"/>
          <a:ext cx="1554480" cy="1583266"/>
        </a:xfrm>
        <a:prstGeom prst="ellipse">
          <a:avLst/>
        </a:prstGeom>
        <a:solidFill>
          <a:srgbClr val="292B37"/>
        </a:solidFill>
        <a:ln>
          <a:noFill/>
        </a:ln>
        <a:effectLst>
          <a:innerShdw blurRad="3048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83126</xdr:colOff>
      <xdr:row>13</xdr:row>
      <xdr:rowOff>92830</xdr:rowOff>
    </xdr:from>
    <xdr:to>
      <xdr:col>12</xdr:col>
      <xdr:colOff>266006</xdr:colOff>
      <xdr:row>24</xdr:row>
      <xdr:rowOff>159886</xdr:rowOff>
    </xdr:to>
    <xdr:graphicFrame macro="">
      <xdr:nvGraphicFramePr>
        <xdr:cNvPr id="111" name="Chart 110">
          <a:extLst>
            <a:ext uri="{FF2B5EF4-FFF2-40B4-BE49-F238E27FC236}">
              <a16:creationId xmlns:a16="http://schemas.microsoft.com/office/drawing/2014/main" id="{00000000-0008-0000-0200-00006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540326</xdr:colOff>
      <xdr:row>16</xdr:row>
      <xdr:rowOff>17831</xdr:rowOff>
    </xdr:from>
    <xdr:to>
      <xdr:col>11</xdr:col>
      <xdr:colOff>418406</xdr:colOff>
      <xdr:row>22</xdr:row>
      <xdr:rowOff>54776</xdr:rowOff>
    </xdr:to>
    <xdr:sp macro="" textlink="">
      <xdr:nvSpPr>
        <xdr:cNvPr id="112" name="Oval 111">
          <a:extLst>
            <a:ext uri="{FF2B5EF4-FFF2-40B4-BE49-F238E27FC236}">
              <a16:creationId xmlns:a16="http://schemas.microsoft.com/office/drawing/2014/main" id="{00000000-0008-0000-0200-000070000000}"/>
            </a:ext>
          </a:extLst>
        </xdr:cNvPr>
        <xdr:cNvSpPr/>
      </xdr:nvSpPr>
      <xdr:spPr>
        <a:xfrm>
          <a:off x="6026726" y="2899576"/>
          <a:ext cx="1097280" cy="1117600"/>
        </a:xfrm>
        <a:prstGeom prst="ellipse">
          <a:avLst/>
        </a:prstGeom>
        <a:gradFill>
          <a:gsLst>
            <a:gs pos="30000">
              <a:srgbClr val="1A1A26"/>
            </a:gs>
            <a:gs pos="100000">
              <a:srgbClr val="34414A"/>
            </a:gs>
          </a:gsLst>
          <a:lin ang="19200000" scaled="0"/>
        </a:gradFill>
        <a:ln>
          <a:noFill/>
        </a:ln>
        <a:effectLst>
          <a:outerShdw blurRad="50800" dist="635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496683</xdr:colOff>
      <xdr:row>16</xdr:row>
      <xdr:rowOff>153939</xdr:rowOff>
    </xdr:from>
    <xdr:to>
      <xdr:col>11</xdr:col>
      <xdr:colOff>572883</xdr:colOff>
      <xdr:row>21</xdr:row>
      <xdr:rowOff>29504</xdr:rowOff>
    </xdr:to>
    <xdr:sp macro="" textlink="Processing!B67">
      <xdr:nvSpPr>
        <xdr:cNvPr id="113" name="TextBox 112">
          <a:extLst>
            <a:ext uri="{FF2B5EF4-FFF2-40B4-BE49-F238E27FC236}">
              <a16:creationId xmlns:a16="http://schemas.microsoft.com/office/drawing/2014/main" id="{00000000-0008-0000-0200-000071000000}"/>
            </a:ext>
          </a:extLst>
        </xdr:cNvPr>
        <xdr:cNvSpPr txBox="1"/>
      </xdr:nvSpPr>
      <xdr:spPr>
        <a:xfrm>
          <a:off x="5983083" y="3035684"/>
          <a:ext cx="1295400" cy="776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DA2B569-0690-42EC-A822-53AC7F8A647D}" type="TxLink">
            <a:rPr lang="en-US" sz="2400" b="0" i="0" u="none" strike="noStrike">
              <a:solidFill>
                <a:schemeClr val="accent4">
                  <a:lumMod val="20000"/>
                  <a:lumOff val="80000"/>
                </a:schemeClr>
              </a:solidFill>
              <a:latin typeface="Aptos Narrow"/>
              <a:ea typeface="+mn-ea"/>
              <a:cs typeface="+mn-cs"/>
            </a:rPr>
            <a:pPr marL="0" indent="0" algn="ctr"/>
            <a:t>64%</a:t>
          </a:fld>
          <a:endParaRPr lang="ru-RU" sz="2400" b="0" i="0" u="none" strike="noStrike">
            <a:solidFill>
              <a:schemeClr val="accent4">
                <a:lumMod val="20000"/>
                <a:lumOff val="80000"/>
              </a:schemeClr>
            </a:solidFill>
            <a:latin typeface="Aptos Narrow"/>
            <a:ea typeface="+mn-ea"/>
            <a:cs typeface="+mn-cs"/>
          </a:endParaRPr>
        </a:p>
      </xdr:txBody>
    </xdr:sp>
    <xdr:clientData/>
  </xdr:twoCellAnchor>
  <xdr:twoCellAnchor>
    <xdr:from>
      <xdr:col>9</xdr:col>
      <xdr:colOff>106580</xdr:colOff>
      <xdr:row>12</xdr:row>
      <xdr:rowOff>16630</xdr:rowOff>
    </xdr:from>
    <xdr:to>
      <xdr:col>11</xdr:col>
      <xdr:colOff>249382</xdr:colOff>
      <xdr:row>14</xdr:row>
      <xdr:rowOff>11590</xdr:rowOff>
    </xdr:to>
    <xdr:sp macro="" textlink="Processing!$A$66">
      <xdr:nvSpPr>
        <xdr:cNvPr id="115" name="TextBox 114">
          <a:extLst>
            <a:ext uri="{FF2B5EF4-FFF2-40B4-BE49-F238E27FC236}">
              <a16:creationId xmlns:a16="http://schemas.microsoft.com/office/drawing/2014/main" id="{00000000-0008-0000-0200-000073000000}"/>
            </a:ext>
          </a:extLst>
        </xdr:cNvPr>
        <xdr:cNvSpPr txBox="1"/>
      </xdr:nvSpPr>
      <xdr:spPr>
        <a:xfrm>
          <a:off x="5592980" y="2177939"/>
          <a:ext cx="1362002" cy="355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3205A41-D7A8-4B79-BD8E-08BCF98D289C}" type="TxLink">
            <a:rPr lang="en-US" sz="1400" b="0" i="0" u="none" strike="noStrike">
              <a:solidFill>
                <a:schemeClr val="accent4">
                  <a:lumMod val="20000"/>
                  <a:lumOff val="80000"/>
                </a:schemeClr>
              </a:solidFill>
              <a:latin typeface="Aptos Narrow"/>
              <a:ea typeface="+mn-ea"/>
              <a:cs typeface="+mn-cs"/>
            </a:rPr>
            <a:pPr marL="0" indent="0" algn="ctr"/>
            <a:t>Expense Ratio %</a:t>
          </a:fld>
          <a:endParaRPr lang="ru-RU" sz="1400" b="0" i="0" u="none" strike="noStrike">
            <a:solidFill>
              <a:schemeClr val="accent4">
                <a:lumMod val="20000"/>
                <a:lumOff val="80000"/>
              </a:schemeClr>
            </a:solidFill>
            <a:latin typeface="Aptos Narrow"/>
            <a:ea typeface="+mn-ea"/>
            <a:cs typeface="+mn-cs"/>
          </a:endParaRPr>
        </a:p>
      </xdr:txBody>
    </xdr:sp>
    <xdr:clientData/>
  </xdr:twoCellAnchor>
  <xdr:twoCellAnchor>
    <xdr:from>
      <xdr:col>12</xdr:col>
      <xdr:colOff>573578</xdr:colOff>
      <xdr:row>13</xdr:row>
      <xdr:rowOff>72049</xdr:rowOff>
    </xdr:from>
    <xdr:to>
      <xdr:col>16</xdr:col>
      <xdr:colOff>146858</xdr:colOff>
      <xdr:row>24</xdr:row>
      <xdr:rowOff>139105</xdr:rowOff>
    </xdr:to>
    <xdr:grpSp>
      <xdr:nvGrpSpPr>
        <xdr:cNvPr id="117" name="Group 116">
          <a:extLst>
            <a:ext uri="{FF2B5EF4-FFF2-40B4-BE49-F238E27FC236}">
              <a16:creationId xmlns:a16="http://schemas.microsoft.com/office/drawing/2014/main" id="{00000000-0008-0000-0200-000075000000}"/>
            </a:ext>
          </a:extLst>
        </xdr:cNvPr>
        <xdr:cNvGrpSpPr/>
      </xdr:nvGrpSpPr>
      <xdr:grpSpPr>
        <a:xfrm>
          <a:off x="7872000" y="2434948"/>
          <a:ext cx="2006087" cy="2066432"/>
          <a:chOff x="5383530" y="15918180"/>
          <a:chExt cx="2011680" cy="2048256"/>
        </a:xfrm>
      </xdr:grpSpPr>
      <xdr:sp macro="" textlink="">
        <xdr:nvSpPr>
          <xdr:cNvPr id="118" name="Oval 117">
            <a:extLst>
              <a:ext uri="{FF2B5EF4-FFF2-40B4-BE49-F238E27FC236}">
                <a16:creationId xmlns:a16="http://schemas.microsoft.com/office/drawing/2014/main" id="{00000000-0008-0000-0200-000076000000}"/>
              </a:ext>
            </a:extLst>
          </xdr:cNvPr>
          <xdr:cNvSpPr/>
        </xdr:nvSpPr>
        <xdr:spPr>
          <a:xfrm>
            <a:off x="5612130" y="16150675"/>
            <a:ext cx="1554480" cy="1583266"/>
          </a:xfrm>
          <a:prstGeom prst="ellipse">
            <a:avLst/>
          </a:prstGeom>
          <a:solidFill>
            <a:srgbClr val="292B37"/>
          </a:solidFill>
          <a:ln>
            <a:noFill/>
          </a:ln>
          <a:effectLst>
            <a:innerShdw blurRad="3048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119" name="Chart 118">
            <a:extLst>
              <a:ext uri="{FF2B5EF4-FFF2-40B4-BE49-F238E27FC236}">
                <a16:creationId xmlns:a16="http://schemas.microsoft.com/office/drawing/2014/main" id="{00000000-0008-0000-0200-000077000000}"/>
              </a:ext>
            </a:extLst>
          </xdr:cNvPr>
          <xdr:cNvGraphicFramePr/>
        </xdr:nvGraphicFramePr>
        <xdr:xfrm>
          <a:off x="5383530" y="15918180"/>
          <a:ext cx="2011680" cy="2048256"/>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20" name="Oval 119">
            <a:extLst>
              <a:ext uri="{FF2B5EF4-FFF2-40B4-BE49-F238E27FC236}">
                <a16:creationId xmlns:a16="http://schemas.microsoft.com/office/drawing/2014/main" id="{00000000-0008-0000-0200-000078000000}"/>
              </a:ext>
            </a:extLst>
          </xdr:cNvPr>
          <xdr:cNvSpPr/>
        </xdr:nvSpPr>
        <xdr:spPr>
          <a:xfrm>
            <a:off x="5840730" y="16383508"/>
            <a:ext cx="1097280" cy="1117600"/>
          </a:xfrm>
          <a:prstGeom prst="ellipse">
            <a:avLst/>
          </a:prstGeom>
          <a:gradFill>
            <a:gsLst>
              <a:gs pos="30000">
                <a:srgbClr val="1A1A26"/>
              </a:gs>
              <a:gs pos="100000">
                <a:srgbClr val="34414A"/>
              </a:gs>
            </a:gsLst>
            <a:lin ang="19200000" scaled="0"/>
          </a:gradFill>
          <a:ln>
            <a:noFill/>
          </a:ln>
          <a:effectLst>
            <a:outerShdw blurRad="50800" dist="635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13</xdr:col>
      <xdr:colOff>385846</xdr:colOff>
      <xdr:row>16</xdr:row>
      <xdr:rowOff>153939</xdr:rowOff>
    </xdr:from>
    <xdr:to>
      <xdr:col>15</xdr:col>
      <xdr:colOff>462046</xdr:colOff>
      <xdr:row>21</xdr:row>
      <xdr:rowOff>29504</xdr:rowOff>
    </xdr:to>
    <xdr:sp macro="" textlink="Processing!$B$71">
      <xdr:nvSpPr>
        <xdr:cNvPr id="122" name="TextBox 121">
          <a:extLst>
            <a:ext uri="{FF2B5EF4-FFF2-40B4-BE49-F238E27FC236}">
              <a16:creationId xmlns:a16="http://schemas.microsoft.com/office/drawing/2014/main" id="{00000000-0008-0000-0200-00007A000000}"/>
            </a:ext>
          </a:extLst>
        </xdr:cNvPr>
        <xdr:cNvSpPr txBox="1"/>
      </xdr:nvSpPr>
      <xdr:spPr>
        <a:xfrm>
          <a:off x="8310646" y="3035684"/>
          <a:ext cx="1295400" cy="776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D63953-EBF3-47AC-8577-05BDCBC21287}" type="TxLink">
            <a:rPr lang="en-US" sz="2400" b="0" i="0" u="none" strike="noStrike">
              <a:solidFill>
                <a:schemeClr val="accent4">
                  <a:lumMod val="20000"/>
                  <a:lumOff val="80000"/>
                </a:schemeClr>
              </a:solidFill>
              <a:latin typeface="Aptos Narrow"/>
              <a:ea typeface="+mn-ea"/>
              <a:cs typeface="+mn-cs"/>
            </a:rPr>
            <a:pPr marL="0" indent="0" algn="ctr"/>
            <a:t>36%</a:t>
          </a:fld>
          <a:endParaRPr lang="ru-RU" sz="2400" b="0" i="0" u="none" strike="noStrike">
            <a:solidFill>
              <a:schemeClr val="accent4">
                <a:lumMod val="20000"/>
                <a:lumOff val="80000"/>
              </a:schemeClr>
            </a:solidFill>
            <a:latin typeface="Aptos Narrow"/>
            <a:ea typeface="+mn-ea"/>
            <a:cs typeface="+mn-cs"/>
          </a:endParaRPr>
        </a:p>
      </xdr:txBody>
    </xdr:sp>
    <xdr:clientData/>
  </xdr:twoCellAnchor>
  <xdr:twoCellAnchor>
    <xdr:from>
      <xdr:col>12</xdr:col>
      <xdr:colOff>480653</xdr:colOff>
      <xdr:row>12</xdr:row>
      <xdr:rowOff>16630</xdr:rowOff>
    </xdr:from>
    <xdr:to>
      <xdr:col>15</xdr:col>
      <xdr:colOff>13855</xdr:colOff>
      <xdr:row>14</xdr:row>
      <xdr:rowOff>11590</xdr:rowOff>
    </xdr:to>
    <xdr:sp macro="" textlink="Processing!$A$70">
      <xdr:nvSpPr>
        <xdr:cNvPr id="123" name="TextBox 122">
          <a:extLst>
            <a:ext uri="{FF2B5EF4-FFF2-40B4-BE49-F238E27FC236}">
              <a16:creationId xmlns:a16="http://schemas.microsoft.com/office/drawing/2014/main" id="{00000000-0008-0000-0200-00007B000000}"/>
            </a:ext>
          </a:extLst>
        </xdr:cNvPr>
        <xdr:cNvSpPr txBox="1"/>
      </xdr:nvSpPr>
      <xdr:spPr>
        <a:xfrm>
          <a:off x="7795853" y="2177939"/>
          <a:ext cx="1362002" cy="355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4586C40-8A5C-46F6-9DC2-0C260CE1E090}" type="TxLink">
            <a:rPr lang="en-US" sz="1400" b="0" i="0" u="none" strike="noStrike">
              <a:solidFill>
                <a:schemeClr val="accent4">
                  <a:lumMod val="20000"/>
                  <a:lumOff val="80000"/>
                </a:schemeClr>
              </a:solidFill>
              <a:latin typeface="Aptos Narrow"/>
              <a:ea typeface="+mn-ea"/>
              <a:cs typeface="+mn-cs"/>
            </a:rPr>
            <a:pPr marL="0" indent="0" algn="ctr"/>
            <a:t>Profit Margin %</a:t>
          </a:fld>
          <a:endParaRPr lang="ru-RU" sz="1400" b="0" i="0" u="none" strike="noStrike">
            <a:solidFill>
              <a:schemeClr val="accent4">
                <a:lumMod val="20000"/>
                <a:lumOff val="80000"/>
              </a:schemeClr>
            </a:solidFill>
            <a:latin typeface="Aptos Narrow"/>
            <a:ea typeface="+mn-ea"/>
            <a:cs typeface="+mn-cs"/>
          </a:endParaRPr>
        </a:p>
      </xdr:txBody>
    </xdr:sp>
    <xdr:clientData/>
  </xdr:twoCellAnchor>
  <xdr:twoCellAnchor>
    <xdr:from>
      <xdr:col>16</xdr:col>
      <xdr:colOff>394855</xdr:colOff>
      <xdr:row>6</xdr:row>
      <xdr:rowOff>152385</xdr:rowOff>
    </xdr:from>
    <xdr:to>
      <xdr:col>19</xdr:col>
      <xdr:colOff>311727</xdr:colOff>
      <xdr:row>16</xdr:row>
      <xdr:rowOff>96967</xdr:rowOff>
    </xdr:to>
    <xdr:grpSp>
      <xdr:nvGrpSpPr>
        <xdr:cNvPr id="2052" name="Group 2051">
          <a:extLst>
            <a:ext uri="{FF2B5EF4-FFF2-40B4-BE49-F238E27FC236}">
              <a16:creationId xmlns:a16="http://schemas.microsoft.com/office/drawing/2014/main" id="{00000000-0008-0000-0200-000004080000}"/>
            </a:ext>
          </a:extLst>
        </xdr:cNvPr>
        <xdr:cNvGrpSpPr/>
      </xdr:nvGrpSpPr>
      <xdr:grpSpPr>
        <a:xfrm>
          <a:off x="10126084" y="1242954"/>
          <a:ext cx="1741478" cy="1762196"/>
          <a:chOff x="10183091" y="1023835"/>
          <a:chExt cx="1920240" cy="1920240"/>
        </a:xfrm>
      </xdr:grpSpPr>
      <xdr:graphicFrame macro="">
        <xdr:nvGraphicFramePr>
          <xdr:cNvPr id="127" name="Chart 126">
            <a:extLst>
              <a:ext uri="{FF2B5EF4-FFF2-40B4-BE49-F238E27FC236}">
                <a16:creationId xmlns:a16="http://schemas.microsoft.com/office/drawing/2014/main" id="{00000000-0008-0000-0200-00007F000000}"/>
              </a:ext>
            </a:extLst>
          </xdr:cNvPr>
          <xdr:cNvGraphicFramePr>
            <a:graphicFrameLocks/>
          </xdr:cNvGraphicFramePr>
        </xdr:nvGraphicFramePr>
        <xdr:xfrm>
          <a:off x="10183091" y="1023835"/>
          <a:ext cx="1920240" cy="1920240"/>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2048" name="Oval 2047">
            <a:extLst>
              <a:ext uri="{FF2B5EF4-FFF2-40B4-BE49-F238E27FC236}">
                <a16:creationId xmlns:a16="http://schemas.microsoft.com/office/drawing/2014/main" id="{00000000-0008-0000-0200-000000080000}"/>
              </a:ext>
            </a:extLst>
          </xdr:cNvPr>
          <xdr:cNvSpPr/>
        </xdr:nvSpPr>
        <xdr:spPr>
          <a:xfrm>
            <a:off x="10537918" y="1378662"/>
            <a:ext cx="1210586" cy="1210586"/>
          </a:xfrm>
          <a:prstGeom prst="ellipse">
            <a:avLst/>
          </a:prstGeom>
          <a:gradFill>
            <a:gsLst>
              <a:gs pos="44000">
                <a:srgbClr val="050714"/>
              </a:gs>
              <a:gs pos="52000">
                <a:srgbClr val="050714">
                  <a:alpha val="88000"/>
                </a:srgbClr>
              </a:gs>
              <a:gs pos="85000">
                <a:srgbClr val="050714">
                  <a:alpha val="0"/>
                </a:srgbClr>
              </a:gs>
            </a:gsLst>
            <a:path path="circle">
              <a:fillToRect l="50000" t="50000" r="50000" b="5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17</xdr:col>
      <xdr:colOff>142711</xdr:colOff>
      <xdr:row>11</xdr:row>
      <xdr:rowOff>716</xdr:rowOff>
    </xdr:from>
    <xdr:to>
      <xdr:col>18</xdr:col>
      <xdr:colOff>563871</xdr:colOff>
      <xdr:row>12</xdr:row>
      <xdr:rowOff>66874</xdr:rowOff>
    </xdr:to>
    <xdr:sp macro="" textlink="Processing!C64">
      <xdr:nvSpPr>
        <xdr:cNvPr id="2050" name="TextBox 2049">
          <a:extLst>
            <a:ext uri="{FF2B5EF4-FFF2-40B4-BE49-F238E27FC236}">
              <a16:creationId xmlns:a16="http://schemas.microsoft.com/office/drawing/2014/main" id="{00000000-0008-0000-0200-000002080000}"/>
            </a:ext>
          </a:extLst>
        </xdr:cNvPr>
        <xdr:cNvSpPr txBox="1"/>
      </xdr:nvSpPr>
      <xdr:spPr>
        <a:xfrm>
          <a:off x="10482142" y="2000092"/>
          <a:ext cx="1029362" cy="247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5133580-B7EE-45CF-852E-51A166F27BFB}" type="TxLink">
            <a:rPr lang="en-US" sz="1600" b="0" i="1" u="none" strike="noStrike">
              <a:solidFill>
                <a:schemeClr val="bg1"/>
              </a:solidFill>
              <a:latin typeface="Aptos Narrow"/>
              <a:ea typeface="+mn-ea"/>
              <a:cs typeface="+mn-cs"/>
            </a:rPr>
            <a:pPr marL="0" indent="0" algn="ctr"/>
            <a:t> $401 665 </a:t>
          </a:fld>
          <a:endParaRPr lang="ru-RU" sz="1600" b="0" i="1" u="none" strike="noStrike">
            <a:solidFill>
              <a:schemeClr val="bg1"/>
            </a:solidFill>
            <a:latin typeface="Aptos Narrow"/>
            <a:ea typeface="+mn-ea"/>
            <a:cs typeface="+mn-cs"/>
          </a:endParaRPr>
        </a:p>
      </xdr:txBody>
    </xdr:sp>
    <xdr:clientData/>
  </xdr:twoCellAnchor>
  <xdr:twoCellAnchor>
    <xdr:from>
      <xdr:col>16</xdr:col>
      <xdr:colOff>408708</xdr:colOff>
      <xdr:row>5</xdr:row>
      <xdr:rowOff>121233</xdr:rowOff>
    </xdr:from>
    <xdr:to>
      <xdr:col>20</xdr:col>
      <xdr:colOff>477981</xdr:colOff>
      <xdr:row>8</xdr:row>
      <xdr:rowOff>138545</xdr:rowOff>
    </xdr:to>
    <xdr:sp macro="" textlink="Processing!A59">
      <xdr:nvSpPr>
        <xdr:cNvPr id="2053" name="TextBox 2052">
          <a:extLst>
            <a:ext uri="{FF2B5EF4-FFF2-40B4-BE49-F238E27FC236}">
              <a16:creationId xmlns:a16="http://schemas.microsoft.com/office/drawing/2014/main" id="{00000000-0008-0000-0200-000005080000}"/>
            </a:ext>
          </a:extLst>
        </xdr:cNvPr>
        <xdr:cNvSpPr txBox="1"/>
      </xdr:nvSpPr>
      <xdr:spPr>
        <a:xfrm>
          <a:off x="10162308" y="1021778"/>
          <a:ext cx="2507673" cy="55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FEB1C1-458D-48B4-B2C5-9945C762B648}" type="TxLink">
            <a:rPr lang="en-US" sz="1400" b="0" i="1" u="none" strike="noStrike">
              <a:solidFill>
                <a:schemeClr val="bg1"/>
              </a:solidFill>
              <a:latin typeface="Aptos Narrow"/>
              <a:ea typeface="+mn-ea"/>
              <a:cs typeface="+mn-cs"/>
            </a:rPr>
            <a:pPr marL="0" indent="0"/>
            <a:t>Revenue by Department</a:t>
          </a:fld>
          <a:endParaRPr lang="ru-RU" sz="1400" b="0" i="1" u="none" strike="noStrike">
            <a:solidFill>
              <a:schemeClr val="bg1"/>
            </a:solidFill>
            <a:latin typeface="Aptos Narrow"/>
            <a:ea typeface="+mn-ea"/>
            <a:cs typeface="+mn-cs"/>
          </a:endParaRPr>
        </a:p>
      </xdr:txBody>
    </xdr:sp>
    <xdr:clientData/>
  </xdr:twoCellAnchor>
  <xdr:twoCellAnchor>
    <xdr:from>
      <xdr:col>19</xdr:col>
      <xdr:colOff>256309</xdr:colOff>
      <xdr:row>7</xdr:row>
      <xdr:rowOff>73429</xdr:rowOff>
    </xdr:from>
    <xdr:to>
      <xdr:col>19</xdr:col>
      <xdr:colOff>439189</xdr:colOff>
      <xdr:row>8</xdr:row>
      <xdr:rowOff>76200</xdr:rowOff>
    </xdr:to>
    <xdr:sp macro="" textlink="">
      <xdr:nvSpPr>
        <xdr:cNvPr id="2055" name="Rectangle: Rounded Corners 2054">
          <a:extLst>
            <a:ext uri="{FF2B5EF4-FFF2-40B4-BE49-F238E27FC236}">
              <a16:creationId xmlns:a16="http://schemas.microsoft.com/office/drawing/2014/main" id="{00000000-0008-0000-0200-000007080000}"/>
            </a:ext>
          </a:extLst>
        </xdr:cNvPr>
        <xdr:cNvSpPr/>
      </xdr:nvSpPr>
      <xdr:spPr>
        <a:xfrm>
          <a:off x="11838709" y="1334193"/>
          <a:ext cx="182880" cy="182880"/>
        </a:xfrm>
        <a:prstGeom prst="roundRect">
          <a:avLst>
            <a:gd name="adj" fmla="val 29570"/>
          </a:avLst>
        </a:prstGeom>
        <a:gradFill>
          <a:gsLst>
            <a:gs pos="0">
              <a:srgbClr val="FF2E9F"/>
            </a:gs>
            <a:gs pos="100000">
              <a:srgbClr val="FF00E0"/>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256309</xdr:colOff>
      <xdr:row>9</xdr:row>
      <xdr:rowOff>127464</xdr:rowOff>
    </xdr:from>
    <xdr:to>
      <xdr:col>19</xdr:col>
      <xdr:colOff>439189</xdr:colOff>
      <xdr:row>10</xdr:row>
      <xdr:rowOff>130235</xdr:rowOff>
    </xdr:to>
    <xdr:sp macro="" textlink="">
      <xdr:nvSpPr>
        <xdr:cNvPr id="2056" name="Rectangle: Rounded Corners 2055">
          <a:extLst>
            <a:ext uri="{FF2B5EF4-FFF2-40B4-BE49-F238E27FC236}">
              <a16:creationId xmlns:a16="http://schemas.microsoft.com/office/drawing/2014/main" id="{00000000-0008-0000-0200-000008080000}"/>
            </a:ext>
          </a:extLst>
        </xdr:cNvPr>
        <xdr:cNvSpPr/>
      </xdr:nvSpPr>
      <xdr:spPr>
        <a:xfrm>
          <a:off x="11812144" y="1763317"/>
          <a:ext cx="182880" cy="184533"/>
        </a:xfrm>
        <a:prstGeom prst="roundRect">
          <a:avLst>
            <a:gd name="adj" fmla="val 29570"/>
          </a:avLst>
        </a:prstGeom>
        <a:gradFill>
          <a:gsLst>
            <a:gs pos="0">
              <a:srgbClr val="7B2FFF"/>
            </a:gs>
            <a:gs pos="100000">
              <a:srgbClr val="C44DFF"/>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256309</xdr:colOff>
      <xdr:row>11</xdr:row>
      <xdr:rowOff>181499</xdr:rowOff>
    </xdr:from>
    <xdr:to>
      <xdr:col>19</xdr:col>
      <xdr:colOff>439189</xdr:colOff>
      <xdr:row>13</xdr:row>
      <xdr:rowOff>2509</xdr:rowOff>
    </xdr:to>
    <xdr:sp macro="" textlink="">
      <xdr:nvSpPr>
        <xdr:cNvPr id="2057" name="Rectangle: Rounded Corners 2056">
          <a:extLst>
            <a:ext uri="{FF2B5EF4-FFF2-40B4-BE49-F238E27FC236}">
              <a16:creationId xmlns:a16="http://schemas.microsoft.com/office/drawing/2014/main" id="{00000000-0008-0000-0200-000009080000}"/>
            </a:ext>
          </a:extLst>
        </xdr:cNvPr>
        <xdr:cNvSpPr/>
      </xdr:nvSpPr>
      <xdr:spPr>
        <a:xfrm>
          <a:off x="11812144" y="2180875"/>
          <a:ext cx="182880" cy="184533"/>
        </a:xfrm>
        <a:prstGeom prst="roundRect">
          <a:avLst>
            <a:gd name="adj" fmla="val 29570"/>
          </a:avLst>
        </a:prstGeom>
        <a:gradFill>
          <a:gsLst>
            <a:gs pos="0">
              <a:srgbClr val="00F5FF"/>
            </a:gs>
            <a:gs pos="100000">
              <a:srgbClr val="00A8FF"/>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256309</xdr:colOff>
      <xdr:row>14</xdr:row>
      <xdr:rowOff>53773</xdr:rowOff>
    </xdr:from>
    <xdr:to>
      <xdr:col>19</xdr:col>
      <xdr:colOff>439189</xdr:colOff>
      <xdr:row>15</xdr:row>
      <xdr:rowOff>56545</xdr:rowOff>
    </xdr:to>
    <xdr:sp macro="" textlink="">
      <xdr:nvSpPr>
        <xdr:cNvPr id="2058" name="Rectangle: Rounded Corners 2057">
          <a:extLst>
            <a:ext uri="{FF2B5EF4-FFF2-40B4-BE49-F238E27FC236}">
              <a16:creationId xmlns:a16="http://schemas.microsoft.com/office/drawing/2014/main" id="{00000000-0008-0000-0200-00000A080000}"/>
            </a:ext>
          </a:extLst>
        </xdr:cNvPr>
        <xdr:cNvSpPr/>
      </xdr:nvSpPr>
      <xdr:spPr>
        <a:xfrm>
          <a:off x="11812144" y="2598434"/>
          <a:ext cx="182880" cy="184533"/>
        </a:xfrm>
        <a:prstGeom prst="roundRect">
          <a:avLst>
            <a:gd name="adj" fmla="val 29570"/>
          </a:avLst>
        </a:prstGeom>
        <a:gradFill>
          <a:gsLst>
            <a:gs pos="0">
              <a:srgbClr val="A8FF3E"/>
            </a:gs>
            <a:gs pos="100000">
              <a:srgbClr val="00FF9D"/>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454429</xdr:colOff>
      <xdr:row>7</xdr:row>
      <xdr:rowOff>6928</xdr:rowOff>
    </xdr:from>
    <xdr:to>
      <xdr:col>21</xdr:col>
      <xdr:colOff>178037</xdr:colOff>
      <xdr:row>8</xdr:row>
      <xdr:rowOff>101139</xdr:rowOff>
    </xdr:to>
    <xdr:sp macro="" textlink="Processing!A77">
      <xdr:nvSpPr>
        <xdr:cNvPr id="2059" name="TextBox 2058">
          <a:extLst>
            <a:ext uri="{FF2B5EF4-FFF2-40B4-BE49-F238E27FC236}">
              <a16:creationId xmlns:a16="http://schemas.microsoft.com/office/drawing/2014/main" id="{00000000-0008-0000-0200-00000B080000}"/>
            </a:ext>
          </a:extLst>
        </xdr:cNvPr>
        <xdr:cNvSpPr txBox="1"/>
      </xdr:nvSpPr>
      <xdr:spPr>
        <a:xfrm>
          <a:off x="12090952" y="1303040"/>
          <a:ext cx="948506" cy="279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E4664B5-7EA0-4341-82C0-D5CC256712BD}" type="TxLink">
            <a:rPr lang="en-US" sz="1200" b="0" i="1" u="none" strike="noStrike">
              <a:solidFill>
                <a:srgbClr val="545C8A"/>
              </a:solidFill>
              <a:latin typeface="Aptos Narrow"/>
              <a:ea typeface="+mn-ea"/>
              <a:cs typeface="+mn-cs"/>
            </a:rPr>
            <a:pPr marL="0" indent="0"/>
            <a:t>Midwest</a:t>
          </a:fld>
          <a:endParaRPr lang="ru-RU" sz="1200" b="0" i="1" u="none" strike="noStrike">
            <a:solidFill>
              <a:srgbClr val="545C8A"/>
            </a:solidFill>
            <a:latin typeface="Aptos Narrow"/>
            <a:ea typeface="+mn-ea"/>
            <a:cs typeface="+mn-cs"/>
          </a:endParaRPr>
        </a:p>
      </xdr:txBody>
    </xdr:sp>
    <xdr:clientData/>
  </xdr:twoCellAnchor>
  <xdr:twoCellAnchor>
    <xdr:from>
      <xdr:col>19</xdr:col>
      <xdr:colOff>454429</xdr:colOff>
      <xdr:row>9</xdr:row>
      <xdr:rowOff>65030</xdr:rowOff>
    </xdr:from>
    <xdr:to>
      <xdr:col>21</xdr:col>
      <xdr:colOff>195743</xdr:colOff>
      <xdr:row>10</xdr:row>
      <xdr:rowOff>159241</xdr:rowOff>
    </xdr:to>
    <xdr:sp macro="" textlink="Processing!A78">
      <xdr:nvSpPr>
        <xdr:cNvPr id="2060" name="TextBox 2059">
          <a:extLst>
            <a:ext uri="{FF2B5EF4-FFF2-40B4-BE49-F238E27FC236}">
              <a16:creationId xmlns:a16="http://schemas.microsoft.com/office/drawing/2014/main" id="{00000000-0008-0000-0200-00000C080000}"/>
            </a:ext>
          </a:extLst>
        </xdr:cNvPr>
        <xdr:cNvSpPr txBox="1"/>
      </xdr:nvSpPr>
      <xdr:spPr>
        <a:xfrm>
          <a:off x="12010264" y="1700883"/>
          <a:ext cx="957718" cy="275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3F3D193-A5E2-4D76-A784-EAC1726DA2D4}" type="TxLink">
            <a:rPr lang="en-US" sz="1200" b="0" i="1" u="none" strike="noStrike">
              <a:solidFill>
                <a:srgbClr val="545C8A"/>
              </a:solidFill>
              <a:latin typeface="Aptos Narrow"/>
              <a:ea typeface="+mn-ea"/>
              <a:cs typeface="+mn-cs"/>
            </a:rPr>
            <a:pPr marL="0" indent="0"/>
            <a:t>Northeast</a:t>
          </a:fld>
          <a:endParaRPr lang="ru-RU" sz="1200" b="0" i="1" u="none" strike="noStrike">
            <a:solidFill>
              <a:srgbClr val="545C8A"/>
            </a:solidFill>
            <a:latin typeface="Aptos Narrow"/>
            <a:ea typeface="+mn-ea"/>
            <a:cs typeface="+mn-cs"/>
          </a:endParaRPr>
        </a:p>
      </xdr:txBody>
    </xdr:sp>
    <xdr:clientData/>
  </xdr:twoCellAnchor>
  <xdr:twoCellAnchor>
    <xdr:from>
      <xdr:col>19</xdr:col>
      <xdr:colOff>454429</xdr:colOff>
      <xdr:row>11</xdr:row>
      <xdr:rowOff>123132</xdr:rowOff>
    </xdr:from>
    <xdr:to>
      <xdr:col>20</xdr:col>
      <xdr:colOff>576349</xdr:colOff>
      <xdr:row>13</xdr:row>
      <xdr:rowOff>37234</xdr:rowOff>
    </xdr:to>
    <xdr:sp macro="" textlink="Processing!A79">
      <xdr:nvSpPr>
        <xdr:cNvPr id="2061" name="TextBox 2060">
          <a:extLst>
            <a:ext uri="{FF2B5EF4-FFF2-40B4-BE49-F238E27FC236}">
              <a16:creationId xmlns:a16="http://schemas.microsoft.com/office/drawing/2014/main" id="{00000000-0008-0000-0200-00000D080000}"/>
            </a:ext>
          </a:extLst>
        </xdr:cNvPr>
        <xdr:cNvSpPr txBox="1"/>
      </xdr:nvSpPr>
      <xdr:spPr>
        <a:xfrm>
          <a:off x="12010264" y="2122508"/>
          <a:ext cx="730122" cy="27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853F13E-A2BB-461C-B3DD-C8D61F1DEB2D}" type="TxLink">
            <a:rPr lang="en-US" sz="1200" b="0" i="1" u="none" strike="noStrike">
              <a:solidFill>
                <a:srgbClr val="545C8A"/>
              </a:solidFill>
              <a:latin typeface="Aptos Narrow"/>
              <a:ea typeface="+mn-ea"/>
              <a:cs typeface="+mn-cs"/>
            </a:rPr>
            <a:pPr marL="0" indent="0"/>
            <a:t>South</a:t>
          </a:fld>
          <a:endParaRPr lang="ru-RU" sz="1200" b="0" i="1" u="none" strike="noStrike">
            <a:solidFill>
              <a:srgbClr val="545C8A"/>
            </a:solidFill>
            <a:latin typeface="Aptos Narrow"/>
            <a:ea typeface="+mn-ea"/>
            <a:cs typeface="+mn-cs"/>
          </a:endParaRPr>
        </a:p>
      </xdr:txBody>
    </xdr:sp>
    <xdr:clientData/>
  </xdr:twoCellAnchor>
  <xdr:twoCellAnchor>
    <xdr:from>
      <xdr:col>19</xdr:col>
      <xdr:colOff>454429</xdr:colOff>
      <xdr:row>14</xdr:row>
      <xdr:rowOff>1124</xdr:rowOff>
    </xdr:from>
    <xdr:to>
      <xdr:col>20</xdr:col>
      <xdr:colOff>576349</xdr:colOff>
      <xdr:row>15</xdr:row>
      <xdr:rowOff>96988</xdr:rowOff>
    </xdr:to>
    <xdr:sp macro="" textlink="Processing!A80">
      <xdr:nvSpPr>
        <xdr:cNvPr id="2062" name="TextBox 2061">
          <a:extLst>
            <a:ext uri="{FF2B5EF4-FFF2-40B4-BE49-F238E27FC236}">
              <a16:creationId xmlns:a16="http://schemas.microsoft.com/office/drawing/2014/main" id="{00000000-0008-0000-0200-00000E080000}"/>
            </a:ext>
          </a:extLst>
        </xdr:cNvPr>
        <xdr:cNvSpPr txBox="1"/>
      </xdr:nvSpPr>
      <xdr:spPr>
        <a:xfrm>
          <a:off x="12010264" y="2545785"/>
          <a:ext cx="730122" cy="27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3ACAE5-834E-4F89-A074-04A1E1D0C159}" type="TxLink">
            <a:rPr lang="en-US" sz="1200" b="0" i="1" u="none" strike="noStrike">
              <a:solidFill>
                <a:srgbClr val="545C8A"/>
              </a:solidFill>
              <a:latin typeface="Aptos Narrow"/>
              <a:ea typeface="+mn-ea"/>
              <a:cs typeface="+mn-cs"/>
            </a:rPr>
            <a:pPr marL="0" indent="0"/>
            <a:t>West</a:t>
          </a:fld>
          <a:endParaRPr lang="ru-RU" sz="1200" b="0" i="1" u="none" strike="noStrike">
            <a:solidFill>
              <a:srgbClr val="545C8A"/>
            </a:solidFill>
            <a:latin typeface="Aptos Narrow"/>
            <a:ea typeface="+mn-ea"/>
            <a:cs typeface="+mn-cs"/>
          </a:endParaRPr>
        </a:p>
      </xdr:txBody>
    </xdr:sp>
    <xdr:clientData/>
  </xdr:twoCellAnchor>
  <xdr:twoCellAnchor>
    <xdr:from>
      <xdr:col>19</xdr:col>
      <xdr:colOff>477289</xdr:colOff>
      <xdr:row>8</xdr:row>
      <xdr:rowOff>40179</xdr:rowOff>
    </xdr:from>
    <xdr:to>
      <xdr:col>20</xdr:col>
      <xdr:colOff>599209</xdr:colOff>
      <xdr:row>9</xdr:row>
      <xdr:rowOff>134390</xdr:rowOff>
    </xdr:to>
    <xdr:sp macro="" textlink="Processing!C77">
      <xdr:nvSpPr>
        <xdr:cNvPr id="2063" name="TextBox 2062">
          <a:extLst>
            <a:ext uri="{FF2B5EF4-FFF2-40B4-BE49-F238E27FC236}">
              <a16:creationId xmlns:a16="http://schemas.microsoft.com/office/drawing/2014/main" id="{00000000-0008-0000-0200-00000F080000}"/>
            </a:ext>
          </a:extLst>
        </xdr:cNvPr>
        <xdr:cNvSpPr txBox="1"/>
      </xdr:nvSpPr>
      <xdr:spPr>
        <a:xfrm>
          <a:off x="12059689" y="1481052"/>
          <a:ext cx="731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6CE7CD85-1FA7-4D50-BB9E-044B268A6D71}" type="TxLink">
            <a:rPr lang="en-US" sz="1200" b="0" i="1" u="none" strike="noStrike">
              <a:solidFill>
                <a:schemeClr val="bg1"/>
              </a:solidFill>
              <a:latin typeface="Aptos Narrow"/>
              <a:ea typeface="+mn-ea"/>
              <a:cs typeface="+mn-cs"/>
            </a:rPr>
            <a:pPr marL="0" indent="0" algn="l"/>
            <a:t>18%</a:t>
          </a:fld>
          <a:endParaRPr lang="ru-RU" sz="1200" b="0" i="1" u="none" strike="noStrike">
            <a:solidFill>
              <a:schemeClr val="bg1"/>
            </a:solidFill>
            <a:latin typeface="Aptos Narrow"/>
            <a:ea typeface="+mn-ea"/>
            <a:cs typeface="+mn-cs"/>
          </a:endParaRPr>
        </a:p>
      </xdr:txBody>
    </xdr:sp>
    <xdr:clientData/>
  </xdr:twoCellAnchor>
  <xdr:twoCellAnchor>
    <xdr:from>
      <xdr:col>19</xdr:col>
      <xdr:colOff>477289</xdr:colOff>
      <xdr:row>10</xdr:row>
      <xdr:rowOff>86799</xdr:rowOff>
    </xdr:from>
    <xdr:to>
      <xdr:col>20</xdr:col>
      <xdr:colOff>599209</xdr:colOff>
      <xdr:row>11</xdr:row>
      <xdr:rowOff>181010</xdr:rowOff>
    </xdr:to>
    <xdr:sp macro="" textlink="Processing!C78">
      <xdr:nvSpPr>
        <xdr:cNvPr id="2064" name="TextBox 2063">
          <a:extLst>
            <a:ext uri="{FF2B5EF4-FFF2-40B4-BE49-F238E27FC236}">
              <a16:creationId xmlns:a16="http://schemas.microsoft.com/office/drawing/2014/main" id="{00000000-0008-0000-0200-000010080000}"/>
            </a:ext>
          </a:extLst>
        </xdr:cNvPr>
        <xdr:cNvSpPr txBox="1"/>
      </xdr:nvSpPr>
      <xdr:spPr>
        <a:xfrm>
          <a:off x="12033124" y="1904414"/>
          <a:ext cx="730122"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B24D57D8-65DF-4A79-A73D-064037DD07C5}" type="TxLink">
            <a:rPr lang="en-US" sz="1200" b="0" i="1" u="none" strike="noStrike">
              <a:solidFill>
                <a:schemeClr val="bg1"/>
              </a:solidFill>
              <a:latin typeface="Aptos Narrow"/>
              <a:ea typeface="+mn-ea"/>
              <a:cs typeface="+mn-cs"/>
            </a:rPr>
            <a:pPr marL="0" indent="0" algn="l"/>
            <a:t>24%</a:t>
          </a:fld>
          <a:endParaRPr lang="ru-RU" sz="1200" b="0" i="1" u="none" strike="noStrike">
            <a:solidFill>
              <a:schemeClr val="bg1"/>
            </a:solidFill>
            <a:latin typeface="Aptos Narrow"/>
            <a:ea typeface="+mn-ea"/>
            <a:cs typeface="+mn-cs"/>
          </a:endParaRPr>
        </a:p>
      </xdr:txBody>
    </xdr:sp>
    <xdr:clientData/>
  </xdr:twoCellAnchor>
  <xdr:twoCellAnchor>
    <xdr:from>
      <xdr:col>19</xdr:col>
      <xdr:colOff>477289</xdr:colOff>
      <xdr:row>12</xdr:row>
      <xdr:rowOff>133419</xdr:rowOff>
    </xdr:from>
    <xdr:to>
      <xdr:col>20</xdr:col>
      <xdr:colOff>599209</xdr:colOff>
      <xdr:row>14</xdr:row>
      <xdr:rowOff>47521</xdr:rowOff>
    </xdr:to>
    <xdr:sp macro="" textlink="Processing!C79">
      <xdr:nvSpPr>
        <xdr:cNvPr id="2065" name="TextBox 2064">
          <a:extLst>
            <a:ext uri="{FF2B5EF4-FFF2-40B4-BE49-F238E27FC236}">
              <a16:creationId xmlns:a16="http://schemas.microsoft.com/office/drawing/2014/main" id="{00000000-0008-0000-0200-000011080000}"/>
            </a:ext>
          </a:extLst>
        </xdr:cNvPr>
        <xdr:cNvSpPr txBox="1"/>
      </xdr:nvSpPr>
      <xdr:spPr>
        <a:xfrm>
          <a:off x="12033124" y="2314557"/>
          <a:ext cx="730122" cy="27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F1992406-4C8B-44D2-ADF5-A2535E1E50D4}" type="TxLink">
            <a:rPr lang="en-US" sz="1200" b="0" i="1" u="none" strike="noStrike">
              <a:solidFill>
                <a:schemeClr val="bg1"/>
              </a:solidFill>
              <a:latin typeface="Aptos Narrow"/>
              <a:ea typeface="+mn-ea"/>
              <a:cs typeface="+mn-cs"/>
            </a:rPr>
            <a:pPr marL="0" indent="0" algn="l"/>
            <a:t>25%</a:t>
          </a:fld>
          <a:endParaRPr lang="ru-RU" sz="1200" b="0" i="1" u="none" strike="noStrike">
            <a:solidFill>
              <a:schemeClr val="bg1"/>
            </a:solidFill>
            <a:latin typeface="Aptos Narrow"/>
            <a:ea typeface="+mn-ea"/>
            <a:cs typeface="+mn-cs"/>
          </a:endParaRPr>
        </a:p>
      </xdr:txBody>
    </xdr:sp>
    <xdr:clientData/>
  </xdr:twoCellAnchor>
  <xdr:twoCellAnchor>
    <xdr:from>
      <xdr:col>19</xdr:col>
      <xdr:colOff>477289</xdr:colOff>
      <xdr:row>15</xdr:row>
      <xdr:rowOff>20904</xdr:rowOff>
    </xdr:from>
    <xdr:to>
      <xdr:col>20</xdr:col>
      <xdr:colOff>599209</xdr:colOff>
      <xdr:row>16</xdr:row>
      <xdr:rowOff>115115</xdr:rowOff>
    </xdr:to>
    <xdr:sp macro="" textlink="Processing!C80">
      <xdr:nvSpPr>
        <xdr:cNvPr id="2066" name="TextBox 2065">
          <a:extLst>
            <a:ext uri="{FF2B5EF4-FFF2-40B4-BE49-F238E27FC236}">
              <a16:creationId xmlns:a16="http://schemas.microsoft.com/office/drawing/2014/main" id="{00000000-0008-0000-0200-000012080000}"/>
            </a:ext>
          </a:extLst>
        </xdr:cNvPr>
        <xdr:cNvSpPr txBox="1"/>
      </xdr:nvSpPr>
      <xdr:spPr>
        <a:xfrm>
          <a:off x="12033124" y="2747326"/>
          <a:ext cx="730122"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C5D9FDA-FAE6-45A6-A75B-EA4A1E97FCDF}" type="TxLink">
            <a:rPr lang="en-US" sz="1200" b="0" i="1" u="none" strike="noStrike">
              <a:solidFill>
                <a:schemeClr val="bg1"/>
              </a:solidFill>
              <a:latin typeface="Aptos Narrow"/>
              <a:ea typeface="+mn-ea"/>
              <a:cs typeface="+mn-cs"/>
            </a:rPr>
            <a:pPr marL="0" indent="0" algn="l"/>
            <a:t>32%</a:t>
          </a:fld>
          <a:endParaRPr lang="ru-RU" sz="1200" b="0" i="1" u="none" strike="noStrike">
            <a:solidFill>
              <a:schemeClr val="bg1"/>
            </a:solidFill>
            <a:latin typeface="Aptos Narrow"/>
            <a:ea typeface="+mn-ea"/>
            <a:cs typeface="+mn-cs"/>
          </a:endParaRPr>
        </a:p>
      </xdr:txBody>
    </xdr:sp>
    <xdr:clientData/>
  </xdr:twoCellAnchor>
  <xdr:twoCellAnchor>
    <xdr:from>
      <xdr:col>7</xdr:col>
      <xdr:colOff>301798</xdr:colOff>
      <xdr:row>26</xdr:row>
      <xdr:rowOff>55480</xdr:rowOff>
    </xdr:from>
    <xdr:to>
      <xdr:col>11</xdr:col>
      <xdr:colOff>195743</xdr:colOff>
      <xdr:row>36</xdr:row>
      <xdr:rowOff>54666</xdr:rowOff>
    </xdr:to>
    <xdr:graphicFrame macro="">
      <xdr:nvGraphicFramePr>
        <xdr:cNvPr id="2067" name="Chart 2066">
          <a:extLst>
            <a:ext uri="{FF2B5EF4-FFF2-40B4-BE49-F238E27FC236}">
              <a16:creationId xmlns:a16="http://schemas.microsoft.com/office/drawing/2014/main" id="{00000000-0008-0000-0200-000013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397609</xdr:colOff>
      <xdr:row>28</xdr:row>
      <xdr:rowOff>142232</xdr:rowOff>
    </xdr:from>
    <xdr:to>
      <xdr:col>10</xdr:col>
      <xdr:colOff>102409</xdr:colOff>
      <xdr:row>33</xdr:row>
      <xdr:rowOff>149675</xdr:rowOff>
    </xdr:to>
    <xdr:sp macro="" textlink="">
      <xdr:nvSpPr>
        <xdr:cNvPr id="2068" name="Oval 2067">
          <a:extLst>
            <a:ext uri="{FF2B5EF4-FFF2-40B4-BE49-F238E27FC236}">
              <a16:creationId xmlns:a16="http://schemas.microsoft.com/office/drawing/2014/main" id="{00000000-0008-0000-0200-000014080000}"/>
            </a:ext>
          </a:extLst>
        </xdr:cNvPr>
        <xdr:cNvSpPr/>
      </xdr:nvSpPr>
      <xdr:spPr>
        <a:xfrm>
          <a:off x="5263224" y="5231553"/>
          <a:ext cx="921203" cy="91625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solidFill>
              <a:schemeClr val="bg1"/>
            </a:solidFill>
          </a:endParaRPr>
        </a:p>
      </xdr:txBody>
    </xdr:sp>
    <xdr:clientData/>
  </xdr:twoCellAnchor>
  <xdr:twoCellAnchor>
    <xdr:from>
      <xdr:col>8</xdr:col>
      <xdr:colOff>306988</xdr:colOff>
      <xdr:row>30</xdr:row>
      <xdr:rowOff>122461</xdr:rowOff>
    </xdr:from>
    <xdr:to>
      <xdr:col>10</xdr:col>
      <xdr:colOff>139816</xdr:colOff>
      <xdr:row>31</xdr:row>
      <xdr:rowOff>169445</xdr:rowOff>
    </xdr:to>
    <xdr:sp macro="" textlink="Processing!B56">
      <xdr:nvSpPr>
        <xdr:cNvPr id="2069" name="TextBox 89">
          <a:extLst>
            <a:ext uri="{FF2B5EF4-FFF2-40B4-BE49-F238E27FC236}">
              <a16:creationId xmlns:a16="http://schemas.microsoft.com/office/drawing/2014/main" id="{00000000-0008-0000-0200-000015080000}"/>
            </a:ext>
          </a:extLst>
        </xdr:cNvPr>
        <xdr:cNvSpPr txBox="1"/>
      </xdr:nvSpPr>
      <xdr:spPr>
        <a:xfrm>
          <a:off x="5172603" y="5575305"/>
          <a:ext cx="1049231" cy="228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defTabSz="914400" rtl="0" eaLnBrk="1" latinLnBrk="0" hangingPunct="1"/>
          <a:fld id="{9D07414E-8AAE-431E-988B-4C7CF92B4DFC}" type="TxLink">
            <a:rPr lang="en-US" sz="1600" b="0" i="0" u="none" strike="noStrike" kern="1200">
              <a:solidFill>
                <a:schemeClr val="bg1"/>
              </a:solidFill>
              <a:latin typeface="Aptos Narrow"/>
              <a:ea typeface="+mn-ea"/>
              <a:cs typeface="+mn-cs"/>
            </a:rPr>
            <a:pPr marL="0" indent="0" algn="ctr" defTabSz="914400" rtl="0" eaLnBrk="1" latinLnBrk="0" hangingPunct="1"/>
            <a:t> $401 665 </a:t>
          </a:fld>
          <a:endParaRPr lang="ru-RU" sz="1600" b="0" i="0" u="none" strike="noStrike" kern="1200">
            <a:solidFill>
              <a:schemeClr val="bg1"/>
            </a:solidFill>
            <a:latin typeface="Aptos Narrow"/>
            <a:ea typeface="+mn-ea"/>
            <a:cs typeface="+mn-cs"/>
          </a:endParaRPr>
        </a:p>
      </xdr:txBody>
    </xdr:sp>
    <xdr:clientData/>
  </xdr:twoCellAnchor>
  <xdr:twoCellAnchor>
    <xdr:from>
      <xdr:col>10</xdr:col>
      <xdr:colOff>504533</xdr:colOff>
      <xdr:row>27</xdr:row>
      <xdr:rowOff>153287</xdr:rowOff>
    </xdr:from>
    <xdr:to>
      <xdr:col>11</xdr:col>
      <xdr:colOff>21022</xdr:colOff>
      <xdr:row>28</xdr:row>
      <xdr:rowOff>95098</xdr:rowOff>
    </xdr:to>
    <xdr:sp macro="" textlink="">
      <xdr:nvSpPr>
        <xdr:cNvPr id="2073" name="Rectangle: Rounded Corners 2072">
          <a:extLst>
            <a:ext uri="{FF2B5EF4-FFF2-40B4-BE49-F238E27FC236}">
              <a16:creationId xmlns:a16="http://schemas.microsoft.com/office/drawing/2014/main" id="{00000000-0008-0000-0200-000019080000}"/>
            </a:ext>
          </a:extLst>
        </xdr:cNvPr>
        <xdr:cNvSpPr/>
      </xdr:nvSpPr>
      <xdr:spPr>
        <a:xfrm>
          <a:off x="6586551" y="5060847"/>
          <a:ext cx="124691" cy="123572"/>
        </a:xfrm>
        <a:prstGeom prst="roundRect">
          <a:avLst/>
        </a:prstGeom>
        <a:gradFill>
          <a:gsLst>
            <a:gs pos="100000">
              <a:srgbClr val="8940D9"/>
            </a:gs>
            <a:gs pos="0">
              <a:srgbClr val="B72CEE"/>
            </a:gs>
          </a:gsLst>
          <a:lin ang="7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504533</xdr:colOff>
      <xdr:row>29</xdr:row>
      <xdr:rowOff>87084</xdr:rowOff>
    </xdr:from>
    <xdr:to>
      <xdr:col>11</xdr:col>
      <xdr:colOff>21022</xdr:colOff>
      <xdr:row>30</xdr:row>
      <xdr:rowOff>28895</xdr:rowOff>
    </xdr:to>
    <xdr:sp macro="" textlink="">
      <xdr:nvSpPr>
        <xdr:cNvPr id="2074" name="Rectangle: Rounded Corners 2073">
          <a:extLst>
            <a:ext uri="{FF2B5EF4-FFF2-40B4-BE49-F238E27FC236}">
              <a16:creationId xmlns:a16="http://schemas.microsoft.com/office/drawing/2014/main" id="{00000000-0008-0000-0200-00001A080000}"/>
            </a:ext>
          </a:extLst>
        </xdr:cNvPr>
        <xdr:cNvSpPr/>
      </xdr:nvSpPr>
      <xdr:spPr>
        <a:xfrm>
          <a:off x="6586551" y="5358167"/>
          <a:ext cx="124691" cy="123572"/>
        </a:xfrm>
        <a:prstGeom prst="roundRect">
          <a:avLst/>
        </a:prstGeom>
        <a:solidFill>
          <a:srgbClr val="0066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504533</xdr:colOff>
      <xdr:row>31</xdr:row>
      <xdr:rowOff>20881</xdr:rowOff>
    </xdr:from>
    <xdr:to>
      <xdr:col>11</xdr:col>
      <xdr:colOff>21022</xdr:colOff>
      <xdr:row>31</xdr:row>
      <xdr:rowOff>145572</xdr:rowOff>
    </xdr:to>
    <xdr:sp macro="" textlink="">
      <xdr:nvSpPr>
        <xdr:cNvPr id="2075" name="Rectangle: Rounded Corners 2074">
          <a:extLst>
            <a:ext uri="{FF2B5EF4-FFF2-40B4-BE49-F238E27FC236}">
              <a16:creationId xmlns:a16="http://schemas.microsoft.com/office/drawing/2014/main" id="{00000000-0008-0000-0200-00001B080000}"/>
            </a:ext>
          </a:extLst>
        </xdr:cNvPr>
        <xdr:cNvSpPr/>
      </xdr:nvSpPr>
      <xdr:spPr>
        <a:xfrm>
          <a:off x="6586551" y="5655487"/>
          <a:ext cx="124691" cy="124691"/>
        </a:xfrm>
        <a:prstGeom prst="roundRect">
          <a:avLst/>
        </a:prstGeom>
        <a:solidFill>
          <a:schemeClr val="tx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597898</xdr:colOff>
      <xdr:row>27</xdr:row>
      <xdr:rowOff>97871</xdr:rowOff>
    </xdr:from>
    <xdr:to>
      <xdr:col>12</xdr:col>
      <xdr:colOff>330390</xdr:colOff>
      <xdr:row>28</xdr:row>
      <xdr:rowOff>150517</xdr:rowOff>
    </xdr:to>
    <xdr:sp macro="" textlink="Processing!A51">
      <xdr:nvSpPr>
        <xdr:cNvPr id="2076" name="TextBox 2075">
          <a:extLst>
            <a:ext uri="{FF2B5EF4-FFF2-40B4-BE49-F238E27FC236}">
              <a16:creationId xmlns:a16="http://schemas.microsoft.com/office/drawing/2014/main" id="{00000000-0008-0000-0200-00001C080000}"/>
            </a:ext>
          </a:extLst>
        </xdr:cNvPr>
        <xdr:cNvSpPr txBox="1"/>
      </xdr:nvSpPr>
      <xdr:spPr>
        <a:xfrm>
          <a:off x="6679916" y="5005431"/>
          <a:ext cx="948896" cy="2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D25F4A6-3808-418F-851E-D10663DB668C}" type="TxLink">
            <a:rPr lang="en-US" sz="1050" b="0" i="0" u="none" strike="noStrike">
              <a:solidFill>
                <a:srgbClr val="97A5D1"/>
              </a:solidFill>
              <a:latin typeface="Calibri"/>
              <a:cs typeface="Calibri"/>
            </a:rPr>
            <a:pPr algn="l"/>
            <a:t>Accessories</a:t>
          </a:fld>
          <a:endParaRPr lang="en-US" sz="1050">
            <a:solidFill>
              <a:srgbClr val="97A5D1"/>
            </a:solidFill>
          </a:endParaRPr>
        </a:p>
      </xdr:txBody>
    </xdr:sp>
    <xdr:clientData/>
  </xdr:twoCellAnchor>
  <xdr:twoCellAnchor>
    <xdr:from>
      <xdr:col>10</xdr:col>
      <xdr:colOff>597898</xdr:colOff>
      <xdr:row>29</xdr:row>
      <xdr:rowOff>30479</xdr:rowOff>
    </xdr:from>
    <xdr:to>
      <xdr:col>12</xdr:col>
      <xdr:colOff>330390</xdr:colOff>
      <xdr:row>30</xdr:row>
      <xdr:rowOff>83125</xdr:rowOff>
    </xdr:to>
    <xdr:sp macro="" textlink="Processing!A52">
      <xdr:nvSpPr>
        <xdr:cNvPr id="2077" name="TextBox 2076">
          <a:extLst>
            <a:ext uri="{FF2B5EF4-FFF2-40B4-BE49-F238E27FC236}">
              <a16:creationId xmlns:a16="http://schemas.microsoft.com/office/drawing/2014/main" id="{00000000-0008-0000-0200-00001D080000}"/>
            </a:ext>
          </a:extLst>
        </xdr:cNvPr>
        <xdr:cNvSpPr txBox="1"/>
      </xdr:nvSpPr>
      <xdr:spPr>
        <a:xfrm>
          <a:off x="6679916" y="5301562"/>
          <a:ext cx="948896" cy="2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A735B66-8588-42D1-AF53-04E33B2178E4}" type="TxLink">
            <a:rPr lang="en-US" sz="1050" b="0" i="0" u="none" strike="noStrike">
              <a:solidFill>
                <a:srgbClr val="97A5D1"/>
              </a:solidFill>
              <a:latin typeface="Calibri"/>
              <a:ea typeface="+mn-ea"/>
              <a:cs typeface="Calibri"/>
            </a:rPr>
            <a:pPr marL="0" indent="0" algn="l"/>
            <a:t>Appliances</a:t>
          </a:fld>
          <a:endParaRPr lang="en-US" sz="1050" b="0" i="0" u="none" strike="noStrike">
            <a:solidFill>
              <a:srgbClr val="97A5D1"/>
            </a:solidFill>
            <a:latin typeface="Calibri"/>
            <a:ea typeface="+mn-ea"/>
            <a:cs typeface="Calibri"/>
          </a:endParaRPr>
        </a:p>
      </xdr:txBody>
    </xdr:sp>
    <xdr:clientData/>
  </xdr:twoCellAnchor>
  <xdr:twoCellAnchor>
    <xdr:from>
      <xdr:col>10</xdr:col>
      <xdr:colOff>597898</xdr:colOff>
      <xdr:row>30</xdr:row>
      <xdr:rowOff>144849</xdr:rowOff>
    </xdr:from>
    <xdr:to>
      <xdr:col>12</xdr:col>
      <xdr:colOff>330390</xdr:colOff>
      <xdr:row>32</xdr:row>
      <xdr:rowOff>14615</xdr:rowOff>
    </xdr:to>
    <xdr:sp macro="" textlink="Processing!A53">
      <xdr:nvSpPr>
        <xdr:cNvPr id="2078" name="TextBox 2077">
          <a:extLst>
            <a:ext uri="{FF2B5EF4-FFF2-40B4-BE49-F238E27FC236}">
              <a16:creationId xmlns:a16="http://schemas.microsoft.com/office/drawing/2014/main" id="{00000000-0008-0000-0200-00001E080000}"/>
            </a:ext>
          </a:extLst>
        </xdr:cNvPr>
        <xdr:cNvSpPr txBox="1"/>
      </xdr:nvSpPr>
      <xdr:spPr>
        <a:xfrm>
          <a:off x="6679916" y="5597693"/>
          <a:ext cx="948896" cy="233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2D393FC-8358-43AB-9F0F-773ECB2A7CEA}" type="TxLink">
            <a:rPr lang="en-US" sz="1050" b="0" i="0" u="none" strike="noStrike">
              <a:solidFill>
                <a:srgbClr val="97A5D1"/>
              </a:solidFill>
              <a:latin typeface="Calibri"/>
              <a:ea typeface="+mn-ea"/>
              <a:cs typeface="Calibri"/>
            </a:rPr>
            <a:pPr marL="0" indent="0" algn="l"/>
            <a:t>Furniture</a:t>
          </a:fld>
          <a:endParaRPr lang="en-US" sz="1050" b="0" i="0" u="none" strike="noStrike">
            <a:solidFill>
              <a:srgbClr val="97A5D1"/>
            </a:solidFill>
            <a:latin typeface="Calibri"/>
            <a:ea typeface="+mn-ea"/>
            <a:cs typeface="Calibri"/>
          </a:endParaRPr>
        </a:p>
      </xdr:txBody>
    </xdr:sp>
    <xdr:clientData/>
  </xdr:twoCellAnchor>
  <xdr:twoCellAnchor>
    <xdr:from>
      <xdr:col>10</xdr:col>
      <xdr:colOff>504533</xdr:colOff>
      <xdr:row>32</xdr:row>
      <xdr:rowOff>137559</xdr:rowOff>
    </xdr:from>
    <xdr:to>
      <xdr:col>11</xdr:col>
      <xdr:colOff>21022</xdr:colOff>
      <xdr:row>33</xdr:row>
      <xdr:rowOff>79370</xdr:rowOff>
    </xdr:to>
    <xdr:sp macro="" textlink="">
      <xdr:nvSpPr>
        <xdr:cNvPr id="2079" name="Rectangle: Rounded Corners 2078">
          <a:extLst>
            <a:ext uri="{FF2B5EF4-FFF2-40B4-BE49-F238E27FC236}">
              <a16:creationId xmlns:a16="http://schemas.microsoft.com/office/drawing/2014/main" id="{00000000-0008-0000-0200-00001F080000}"/>
            </a:ext>
          </a:extLst>
        </xdr:cNvPr>
        <xdr:cNvSpPr/>
      </xdr:nvSpPr>
      <xdr:spPr>
        <a:xfrm>
          <a:off x="6586551" y="5953926"/>
          <a:ext cx="124691" cy="123572"/>
        </a:xfrm>
        <a:prstGeom prst="roundRect">
          <a:avLst/>
        </a:prstGeom>
        <a:solidFill>
          <a:srgbClr val="66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504533</xdr:colOff>
      <xdr:row>34</xdr:row>
      <xdr:rowOff>71355</xdr:rowOff>
    </xdr:from>
    <xdr:to>
      <xdr:col>11</xdr:col>
      <xdr:colOff>21022</xdr:colOff>
      <xdr:row>35</xdr:row>
      <xdr:rowOff>13166</xdr:rowOff>
    </xdr:to>
    <xdr:sp macro="" textlink="">
      <xdr:nvSpPr>
        <xdr:cNvPr id="2080" name="Rectangle: Rounded Corners 2079">
          <a:extLst>
            <a:ext uri="{FF2B5EF4-FFF2-40B4-BE49-F238E27FC236}">
              <a16:creationId xmlns:a16="http://schemas.microsoft.com/office/drawing/2014/main" id="{00000000-0008-0000-0200-000020080000}"/>
            </a:ext>
          </a:extLst>
        </xdr:cNvPr>
        <xdr:cNvSpPr/>
      </xdr:nvSpPr>
      <xdr:spPr>
        <a:xfrm>
          <a:off x="6586551" y="6251245"/>
          <a:ext cx="124691" cy="123572"/>
        </a:xfrm>
        <a:prstGeom prst="roundRect">
          <a:avLst/>
        </a:prstGeom>
        <a:solidFill>
          <a:srgbClr val="5B9BD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597898</xdr:colOff>
      <xdr:row>32</xdr:row>
      <xdr:rowOff>76339</xdr:rowOff>
    </xdr:from>
    <xdr:to>
      <xdr:col>12</xdr:col>
      <xdr:colOff>329132</xdr:colOff>
      <xdr:row>33</xdr:row>
      <xdr:rowOff>128985</xdr:rowOff>
    </xdr:to>
    <xdr:sp macro="" textlink="Processing!A54">
      <xdr:nvSpPr>
        <xdr:cNvPr id="2081" name="TextBox 2080">
          <a:extLst>
            <a:ext uri="{FF2B5EF4-FFF2-40B4-BE49-F238E27FC236}">
              <a16:creationId xmlns:a16="http://schemas.microsoft.com/office/drawing/2014/main" id="{00000000-0008-0000-0200-000021080000}"/>
            </a:ext>
          </a:extLst>
        </xdr:cNvPr>
        <xdr:cNvSpPr txBox="1"/>
      </xdr:nvSpPr>
      <xdr:spPr>
        <a:xfrm>
          <a:off x="6679916" y="5892706"/>
          <a:ext cx="947638" cy="2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AE5C75E-DF25-4CE6-82D2-E64BBD1F828E}" type="TxLink">
            <a:rPr lang="en-US" sz="1050" b="0" i="0" u="none" strike="noStrike">
              <a:solidFill>
                <a:srgbClr val="97A5D1"/>
              </a:solidFill>
              <a:latin typeface="Calibri"/>
              <a:ea typeface="+mn-ea"/>
              <a:cs typeface="Calibri"/>
            </a:rPr>
            <a:pPr marL="0" indent="0" algn="l"/>
            <a:t>Office Supplies</a:t>
          </a:fld>
          <a:endParaRPr lang="en-US" sz="1050" b="0" i="0" u="none" strike="noStrike">
            <a:solidFill>
              <a:srgbClr val="97A5D1"/>
            </a:solidFill>
            <a:latin typeface="Calibri"/>
            <a:ea typeface="+mn-ea"/>
            <a:cs typeface="Calibri"/>
          </a:endParaRPr>
        </a:p>
      </xdr:txBody>
    </xdr:sp>
    <xdr:clientData/>
  </xdr:twoCellAnchor>
  <xdr:twoCellAnchor>
    <xdr:from>
      <xdr:col>10</xdr:col>
      <xdr:colOff>597898</xdr:colOff>
      <xdr:row>34</xdr:row>
      <xdr:rowOff>8947</xdr:rowOff>
    </xdr:from>
    <xdr:to>
      <xdr:col>12</xdr:col>
      <xdr:colOff>329132</xdr:colOff>
      <xdr:row>35</xdr:row>
      <xdr:rowOff>61593</xdr:rowOff>
    </xdr:to>
    <xdr:sp macro="" textlink="Processing!A55">
      <xdr:nvSpPr>
        <xdr:cNvPr id="2082" name="TextBox 2081">
          <a:extLst>
            <a:ext uri="{FF2B5EF4-FFF2-40B4-BE49-F238E27FC236}">
              <a16:creationId xmlns:a16="http://schemas.microsoft.com/office/drawing/2014/main" id="{00000000-0008-0000-0200-000022080000}"/>
            </a:ext>
          </a:extLst>
        </xdr:cNvPr>
        <xdr:cNvSpPr txBox="1"/>
      </xdr:nvSpPr>
      <xdr:spPr>
        <a:xfrm>
          <a:off x="6679916" y="6188837"/>
          <a:ext cx="947638" cy="2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EDAEA4B-3FE2-4492-AA79-0D31725641C7}" type="TxLink">
            <a:rPr lang="en-US" sz="1050" b="0" i="0" u="none" strike="noStrike">
              <a:solidFill>
                <a:srgbClr val="97A5D1"/>
              </a:solidFill>
              <a:latin typeface="Calibri"/>
              <a:ea typeface="+mn-ea"/>
              <a:cs typeface="Calibri"/>
            </a:rPr>
            <a:pPr marL="0" indent="0" algn="l"/>
            <a:t>Technology</a:t>
          </a:fld>
          <a:endParaRPr lang="en-US" sz="1050" b="0" i="0" u="none" strike="noStrike">
            <a:solidFill>
              <a:srgbClr val="97A5D1"/>
            </a:solidFill>
            <a:latin typeface="Calibri"/>
            <a:ea typeface="+mn-ea"/>
            <a:cs typeface="Calibri"/>
          </a:endParaRPr>
        </a:p>
      </xdr:txBody>
    </xdr:sp>
    <xdr:clientData/>
  </xdr:twoCellAnchor>
  <xdr:twoCellAnchor>
    <xdr:from>
      <xdr:col>12</xdr:col>
      <xdr:colOff>108539</xdr:colOff>
      <xdr:row>27</xdr:row>
      <xdr:rowOff>97871</xdr:rowOff>
    </xdr:from>
    <xdr:to>
      <xdr:col>13</xdr:col>
      <xdr:colOff>449233</xdr:colOff>
      <xdr:row>28</xdr:row>
      <xdr:rowOff>150517</xdr:rowOff>
    </xdr:to>
    <xdr:sp macro="" textlink="Processing!B51">
      <xdr:nvSpPr>
        <xdr:cNvPr id="2085" name="TextBox 2084">
          <a:extLst>
            <a:ext uri="{FF2B5EF4-FFF2-40B4-BE49-F238E27FC236}">
              <a16:creationId xmlns:a16="http://schemas.microsoft.com/office/drawing/2014/main" id="{00000000-0008-0000-0200-000025080000}"/>
            </a:ext>
          </a:extLst>
        </xdr:cNvPr>
        <xdr:cNvSpPr txBox="1"/>
      </xdr:nvSpPr>
      <xdr:spPr>
        <a:xfrm>
          <a:off x="7406961" y="5005431"/>
          <a:ext cx="948896" cy="2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70F6695-4B4B-4A68-B6D6-7B4CA56903AD}" type="TxLink">
            <a:rPr lang="en-US" sz="1050" b="0" i="0" u="none" strike="noStrike">
              <a:solidFill>
                <a:schemeClr val="bg1"/>
              </a:solidFill>
              <a:latin typeface="Calibri"/>
              <a:ea typeface="+mn-ea"/>
              <a:cs typeface="Calibri"/>
            </a:rPr>
            <a:pPr marL="0" indent="0" algn="l"/>
            <a:t> $89 199 </a:t>
          </a:fld>
          <a:endParaRPr lang="en-US" sz="1050" b="0" i="0" u="none" strike="noStrike">
            <a:solidFill>
              <a:schemeClr val="bg1"/>
            </a:solidFill>
            <a:latin typeface="Calibri"/>
            <a:ea typeface="+mn-ea"/>
            <a:cs typeface="Calibri"/>
          </a:endParaRPr>
        </a:p>
      </xdr:txBody>
    </xdr:sp>
    <xdr:clientData/>
  </xdr:twoCellAnchor>
  <xdr:twoCellAnchor>
    <xdr:from>
      <xdr:col>12</xdr:col>
      <xdr:colOff>108539</xdr:colOff>
      <xdr:row>29</xdr:row>
      <xdr:rowOff>30479</xdr:rowOff>
    </xdr:from>
    <xdr:to>
      <xdr:col>13</xdr:col>
      <xdr:colOff>449233</xdr:colOff>
      <xdr:row>30</xdr:row>
      <xdr:rowOff>83125</xdr:rowOff>
    </xdr:to>
    <xdr:sp macro="" textlink="Processing!B52">
      <xdr:nvSpPr>
        <xdr:cNvPr id="2086" name="TextBox 2085">
          <a:extLst>
            <a:ext uri="{FF2B5EF4-FFF2-40B4-BE49-F238E27FC236}">
              <a16:creationId xmlns:a16="http://schemas.microsoft.com/office/drawing/2014/main" id="{00000000-0008-0000-0200-000026080000}"/>
            </a:ext>
          </a:extLst>
        </xdr:cNvPr>
        <xdr:cNvSpPr txBox="1"/>
      </xdr:nvSpPr>
      <xdr:spPr>
        <a:xfrm>
          <a:off x="7406961" y="5301562"/>
          <a:ext cx="948896" cy="2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F74339F-F3FC-4588-9DD2-F5D60E2A6A44}" type="TxLink">
            <a:rPr lang="en-US" sz="1050" b="0" i="0" u="none" strike="noStrike">
              <a:solidFill>
                <a:schemeClr val="bg1"/>
              </a:solidFill>
              <a:latin typeface="Calibri"/>
              <a:ea typeface="+mn-ea"/>
              <a:cs typeface="Calibri"/>
            </a:rPr>
            <a:pPr marL="0" indent="0" algn="l"/>
            <a:t> $55 715 </a:t>
          </a:fld>
          <a:endParaRPr lang="en-US" sz="1050" b="0" i="0" u="none" strike="noStrike">
            <a:solidFill>
              <a:schemeClr val="bg1"/>
            </a:solidFill>
            <a:latin typeface="Calibri"/>
            <a:ea typeface="+mn-ea"/>
            <a:cs typeface="Calibri"/>
          </a:endParaRPr>
        </a:p>
      </xdr:txBody>
    </xdr:sp>
    <xdr:clientData/>
  </xdr:twoCellAnchor>
  <xdr:twoCellAnchor>
    <xdr:from>
      <xdr:col>12</xdr:col>
      <xdr:colOff>108539</xdr:colOff>
      <xdr:row>30</xdr:row>
      <xdr:rowOff>144849</xdr:rowOff>
    </xdr:from>
    <xdr:to>
      <xdr:col>13</xdr:col>
      <xdr:colOff>449233</xdr:colOff>
      <xdr:row>32</xdr:row>
      <xdr:rowOff>14615</xdr:rowOff>
    </xdr:to>
    <xdr:sp macro="" textlink="Processing!B53">
      <xdr:nvSpPr>
        <xdr:cNvPr id="2087" name="TextBox 2086">
          <a:extLst>
            <a:ext uri="{FF2B5EF4-FFF2-40B4-BE49-F238E27FC236}">
              <a16:creationId xmlns:a16="http://schemas.microsoft.com/office/drawing/2014/main" id="{00000000-0008-0000-0200-000027080000}"/>
            </a:ext>
          </a:extLst>
        </xdr:cNvPr>
        <xdr:cNvSpPr txBox="1"/>
      </xdr:nvSpPr>
      <xdr:spPr>
        <a:xfrm>
          <a:off x="7406961" y="5597693"/>
          <a:ext cx="948896" cy="233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31EB86E-00CB-459F-BE33-A680508C3DD9}" type="TxLink">
            <a:rPr lang="en-US" sz="1050" b="0" i="0" u="none" strike="noStrike">
              <a:solidFill>
                <a:schemeClr val="bg1"/>
              </a:solidFill>
              <a:latin typeface="Calibri"/>
              <a:ea typeface="+mn-ea"/>
              <a:cs typeface="Calibri"/>
            </a:rPr>
            <a:pPr marL="0" indent="0" algn="l"/>
            <a:t> $64 076 </a:t>
          </a:fld>
          <a:endParaRPr lang="en-US" sz="1050" b="0" i="0" u="none" strike="noStrike">
            <a:solidFill>
              <a:schemeClr val="bg1"/>
            </a:solidFill>
            <a:latin typeface="Calibri"/>
            <a:ea typeface="+mn-ea"/>
            <a:cs typeface="Calibri"/>
          </a:endParaRPr>
        </a:p>
      </xdr:txBody>
    </xdr:sp>
    <xdr:clientData/>
  </xdr:twoCellAnchor>
  <xdr:twoCellAnchor>
    <xdr:from>
      <xdr:col>12</xdr:col>
      <xdr:colOff>108539</xdr:colOff>
      <xdr:row>32</xdr:row>
      <xdr:rowOff>76339</xdr:rowOff>
    </xdr:from>
    <xdr:to>
      <xdr:col>13</xdr:col>
      <xdr:colOff>447975</xdr:colOff>
      <xdr:row>33</xdr:row>
      <xdr:rowOff>128985</xdr:rowOff>
    </xdr:to>
    <xdr:sp macro="" textlink="Processing!B54">
      <xdr:nvSpPr>
        <xdr:cNvPr id="2088" name="TextBox 2087">
          <a:extLst>
            <a:ext uri="{FF2B5EF4-FFF2-40B4-BE49-F238E27FC236}">
              <a16:creationId xmlns:a16="http://schemas.microsoft.com/office/drawing/2014/main" id="{00000000-0008-0000-0200-000028080000}"/>
            </a:ext>
          </a:extLst>
        </xdr:cNvPr>
        <xdr:cNvSpPr txBox="1"/>
      </xdr:nvSpPr>
      <xdr:spPr>
        <a:xfrm>
          <a:off x="7406961" y="5892706"/>
          <a:ext cx="947638" cy="2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80044F3-264D-4F5B-A115-2ECF5C41184E}" type="TxLink">
            <a:rPr lang="en-US" sz="1050" b="0" i="0" u="none" strike="noStrike">
              <a:solidFill>
                <a:schemeClr val="bg1"/>
              </a:solidFill>
              <a:latin typeface="Calibri"/>
              <a:ea typeface="+mn-ea"/>
              <a:cs typeface="Calibri"/>
            </a:rPr>
            <a:pPr marL="0" indent="0" algn="l"/>
            <a:t> $88 251 </a:t>
          </a:fld>
          <a:endParaRPr lang="en-US" sz="1050" b="0" i="0" u="none" strike="noStrike">
            <a:solidFill>
              <a:schemeClr val="bg1"/>
            </a:solidFill>
            <a:latin typeface="Calibri"/>
            <a:ea typeface="+mn-ea"/>
            <a:cs typeface="Calibri"/>
          </a:endParaRPr>
        </a:p>
      </xdr:txBody>
    </xdr:sp>
    <xdr:clientData/>
  </xdr:twoCellAnchor>
  <xdr:twoCellAnchor>
    <xdr:from>
      <xdr:col>12</xdr:col>
      <xdr:colOff>108539</xdr:colOff>
      <xdr:row>34</xdr:row>
      <xdr:rowOff>8947</xdr:rowOff>
    </xdr:from>
    <xdr:to>
      <xdr:col>13</xdr:col>
      <xdr:colOff>447975</xdr:colOff>
      <xdr:row>35</xdr:row>
      <xdr:rowOff>61593</xdr:rowOff>
    </xdr:to>
    <xdr:sp macro="" textlink="Processing!B55">
      <xdr:nvSpPr>
        <xdr:cNvPr id="2089" name="TextBox 2088">
          <a:extLst>
            <a:ext uri="{FF2B5EF4-FFF2-40B4-BE49-F238E27FC236}">
              <a16:creationId xmlns:a16="http://schemas.microsoft.com/office/drawing/2014/main" id="{00000000-0008-0000-0200-000029080000}"/>
            </a:ext>
          </a:extLst>
        </xdr:cNvPr>
        <xdr:cNvSpPr txBox="1"/>
      </xdr:nvSpPr>
      <xdr:spPr>
        <a:xfrm>
          <a:off x="7406961" y="6188837"/>
          <a:ext cx="947638" cy="234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D4E1AFB-3495-4BC2-9243-F5B5A91458FF}" type="TxLink">
            <a:rPr lang="en-US" sz="1050" b="0" i="0" u="none" strike="noStrike">
              <a:solidFill>
                <a:schemeClr val="bg1"/>
              </a:solidFill>
              <a:latin typeface="Calibri"/>
              <a:ea typeface="+mn-ea"/>
              <a:cs typeface="Calibri"/>
            </a:rPr>
            <a:pPr marL="0" indent="0" algn="l"/>
            <a:t> $104 425 </a:t>
          </a:fld>
          <a:endParaRPr lang="en-US" sz="1050" b="0" i="0" u="none" strike="noStrike">
            <a:solidFill>
              <a:schemeClr val="bg1"/>
            </a:solidFill>
            <a:latin typeface="Calibri"/>
            <a:ea typeface="+mn-ea"/>
            <a:cs typeface="Calibri"/>
          </a:endParaRPr>
        </a:p>
      </xdr:txBody>
    </xdr:sp>
    <xdr:clientData/>
  </xdr:twoCellAnchor>
  <xdr:twoCellAnchor>
    <xdr:from>
      <xdr:col>8</xdr:col>
      <xdr:colOff>24212</xdr:colOff>
      <xdr:row>25</xdr:row>
      <xdr:rowOff>92825</xdr:rowOff>
    </xdr:from>
    <xdr:to>
      <xdr:col>11</xdr:col>
      <xdr:colOff>482366</xdr:colOff>
      <xdr:row>28</xdr:row>
      <xdr:rowOff>111790</xdr:rowOff>
    </xdr:to>
    <xdr:sp macro="" textlink="Processing!A50">
      <xdr:nvSpPr>
        <xdr:cNvPr id="2090" name="TextBox 2089">
          <a:extLst>
            <a:ext uri="{FF2B5EF4-FFF2-40B4-BE49-F238E27FC236}">
              <a16:creationId xmlns:a16="http://schemas.microsoft.com/office/drawing/2014/main" id="{00000000-0008-0000-0200-00002A080000}"/>
            </a:ext>
          </a:extLst>
        </xdr:cNvPr>
        <xdr:cNvSpPr txBox="1"/>
      </xdr:nvSpPr>
      <xdr:spPr>
        <a:xfrm>
          <a:off x="4889827" y="4636862"/>
          <a:ext cx="2282759" cy="56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D72678B-C1F0-459F-A121-723023B30470}" type="TxLink">
            <a:rPr lang="en-US" sz="1400" b="0" i="1" u="none" strike="noStrike">
              <a:solidFill>
                <a:schemeClr val="bg1"/>
              </a:solidFill>
              <a:latin typeface="Aptos Narrow"/>
              <a:ea typeface="+mn-ea"/>
              <a:cs typeface="+mn-cs"/>
            </a:rPr>
            <a:pPr marL="0" indent="0"/>
            <a:t>Revenue by Category</a:t>
          </a:fld>
          <a:endParaRPr lang="ru-RU" sz="1400" b="0" i="1" u="none" strike="noStrike">
            <a:solidFill>
              <a:schemeClr val="bg1"/>
            </a:solidFill>
            <a:latin typeface="Aptos Narrow"/>
            <a:ea typeface="+mn-ea"/>
            <a:cs typeface="+mn-cs"/>
          </a:endParaRPr>
        </a:p>
      </xdr:txBody>
    </xdr:sp>
    <xdr:clientData/>
  </xdr:twoCellAnchor>
  <xdr:twoCellAnchor>
    <xdr:from>
      <xdr:col>13</xdr:col>
      <xdr:colOff>405469</xdr:colOff>
      <xdr:row>26</xdr:row>
      <xdr:rowOff>62917</xdr:rowOff>
    </xdr:from>
    <xdr:to>
      <xdr:col>16</xdr:col>
      <xdr:colOff>235928</xdr:colOff>
      <xdr:row>35</xdr:row>
      <xdr:rowOff>145046</xdr:rowOff>
    </xdr:to>
    <xdr:graphicFrame macro="">
      <xdr:nvGraphicFramePr>
        <xdr:cNvPr id="2092" name="Chart 2091">
          <a:extLst>
            <a:ext uri="{FF2B5EF4-FFF2-40B4-BE49-F238E27FC236}">
              <a16:creationId xmlns:a16="http://schemas.microsoft.com/office/drawing/2014/main" id="{00000000-0008-0000-0200-00002C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359773</xdr:colOff>
      <xdr:row>25</xdr:row>
      <xdr:rowOff>71854</xdr:rowOff>
    </xdr:from>
    <xdr:to>
      <xdr:col>15</xdr:col>
      <xdr:colOff>279633</xdr:colOff>
      <xdr:row>27</xdr:row>
      <xdr:rowOff>1</xdr:rowOff>
    </xdr:to>
    <xdr:sp macro="" textlink="Processing!A92">
      <xdr:nvSpPr>
        <xdr:cNvPr id="2093" name="TextBox 2092">
          <a:extLst>
            <a:ext uri="{FF2B5EF4-FFF2-40B4-BE49-F238E27FC236}">
              <a16:creationId xmlns:a16="http://schemas.microsoft.com/office/drawing/2014/main" id="{00000000-0008-0000-0200-00002D080000}"/>
            </a:ext>
          </a:extLst>
        </xdr:cNvPr>
        <xdr:cNvSpPr txBox="1"/>
      </xdr:nvSpPr>
      <xdr:spPr>
        <a:xfrm>
          <a:off x="8266397" y="4615891"/>
          <a:ext cx="1136264" cy="291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FA0EF17-0452-4C60-87F6-C6B9C3C516AF}" type="TxLink">
            <a:rPr lang="en-US" sz="1200" b="0" i="1" u="none" strike="noStrike">
              <a:solidFill>
                <a:schemeClr val="bg1"/>
              </a:solidFill>
              <a:latin typeface="Aptos Narrow"/>
              <a:ea typeface="+mn-ea"/>
              <a:cs typeface="+mn-cs"/>
            </a:rPr>
            <a:pPr marL="0" indent="0"/>
            <a:t>Customer Type</a:t>
          </a:fld>
          <a:endParaRPr lang="ru-RU" sz="1200" b="0" i="1" u="none" strike="noStrike">
            <a:solidFill>
              <a:schemeClr val="bg1"/>
            </a:solidFill>
            <a:latin typeface="Aptos Narrow"/>
            <a:ea typeface="+mn-ea"/>
            <a:cs typeface="+mn-cs"/>
          </a:endParaRPr>
        </a:p>
      </xdr:txBody>
    </xdr:sp>
    <xdr:clientData/>
  </xdr:twoCellAnchor>
  <xdr:twoCellAnchor>
    <xdr:from>
      <xdr:col>14</xdr:col>
      <xdr:colOff>391915</xdr:colOff>
      <xdr:row>25</xdr:row>
      <xdr:rowOff>34953</xdr:rowOff>
    </xdr:from>
    <xdr:to>
      <xdr:col>16</xdr:col>
      <xdr:colOff>569935</xdr:colOff>
      <xdr:row>27</xdr:row>
      <xdr:rowOff>4811</xdr:rowOff>
    </xdr:to>
    <xdr:sp macro="" textlink="Processing!D96">
      <xdr:nvSpPr>
        <xdr:cNvPr id="2095" name="TextBox 24">
          <a:extLst>
            <a:ext uri="{FF2B5EF4-FFF2-40B4-BE49-F238E27FC236}">
              <a16:creationId xmlns:a16="http://schemas.microsoft.com/office/drawing/2014/main" id="{00000000-0008-0000-0200-00002F080000}"/>
            </a:ext>
          </a:extLst>
        </xdr:cNvPr>
        <xdr:cNvSpPr txBox="1"/>
      </xdr:nvSpPr>
      <xdr:spPr>
        <a:xfrm>
          <a:off x="8906741" y="4578990"/>
          <a:ext cx="1394423" cy="333381"/>
        </a:xfrm>
        <a:prstGeom prst="rect">
          <a:avLst/>
        </a:prstGeom>
        <a:noFill/>
      </xdr:spPr>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25C018E1-F0D1-4FA9-9D13-A825F7F165C0}" type="TxLink">
            <a:rPr lang="en-US" sz="1000" b="0" i="0" u="none" strike="noStrike" kern="1200">
              <a:solidFill>
                <a:srgbClr val="60ED49"/>
              </a:solidFill>
              <a:latin typeface="Calibri"/>
              <a:ea typeface="+mn-ea"/>
              <a:cs typeface="Calibri"/>
            </a:rPr>
            <a:pPr marL="0" indent="0" algn="ctr" defTabSz="914400" rtl="0" eaLnBrk="1" latinLnBrk="0" hangingPunct="1"/>
            <a:t>▲ 13,3%</a:t>
          </a:fld>
          <a:endParaRPr lang="ru-RU" sz="1000" b="0" i="0" u="none" strike="noStrike" kern="1200">
            <a:solidFill>
              <a:srgbClr val="60ED49"/>
            </a:solidFill>
            <a:latin typeface="Calibri"/>
            <a:ea typeface="+mn-ea"/>
            <a:cs typeface="Calibri"/>
          </a:endParaRPr>
        </a:p>
      </xdr:txBody>
    </xdr:sp>
    <xdr:clientData/>
  </xdr:twoCellAnchor>
  <xdr:twoCellAnchor>
    <xdr:from>
      <xdr:col>15</xdr:col>
      <xdr:colOff>209725</xdr:colOff>
      <xdr:row>25</xdr:row>
      <xdr:rowOff>84570</xdr:rowOff>
    </xdr:from>
    <xdr:to>
      <xdr:col>16</xdr:col>
      <xdr:colOff>176488</xdr:colOff>
      <xdr:row>26</xdr:row>
      <xdr:rowOff>124481</xdr:rowOff>
    </xdr:to>
    <xdr:sp macro="" textlink="">
      <xdr:nvSpPr>
        <xdr:cNvPr id="2094" name="Rectangle: Rounded Corners 2093">
          <a:extLst>
            <a:ext uri="{FF2B5EF4-FFF2-40B4-BE49-F238E27FC236}">
              <a16:creationId xmlns:a16="http://schemas.microsoft.com/office/drawing/2014/main" id="{00000000-0008-0000-0200-00002E080000}"/>
            </a:ext>
          </a:extLst>
        </xdr:cNvPr>
        <xdr:cNvSpPr/>
      </xdr:nvSpPr>
      <xdr:spPr>
        <a:xfrm>
          <a:off x="9332753" y="4628607"/>
          <a:ext cx="574964" cy="221672"/>
        </a:xfrm>
        <a:prstGeom prst="roundRect">
          <a:avLst>
            <a:gd name="adj" fmla="val 50000"/>
          </a:avLst>
        </a:prstGeom>
        <a:solidFill>
          <a:srgbClr val="3DBEFF">
            <a:alpha val="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391915</xdr:colOff>
      <xdr:row>25</xdr:row>
      <xdr:rowOff>34953</xdr:rowOff>
    </xdr:from>
    <xdr:to>
      <xdr:col>16</xdr:col>
      <xdr:colOff>569935</xdr:colOff>
      <xdr:row>27</xdr:row>
      <xdr:rowOff>4811</xdr:rowOff>
    </xdr:to>
    <xdr:sp macro="" textlink="Processing!D97">
      <xdr:nvSpPr>
        <xdr:cNvPr id="2097" name="TextBox 24">
          <a:extLst>
            <a:ext uri="{FF2B5EF4-FFF2-40B4-BE49-F238E27FC236}">
              <a16:creationId xmlns:a16="http://schemas.microsoft.com/office/drawing/2014/main" id="{00000000-0008-0000-0200-000031080000}"/>
            </a:ext>
          </a:extLst>
        </xdr:cNvPr>
        <xdr:cNvSpPr txBox="1"/>
      </xdr:nvSpPr>
      <xdr:spPr>
        <a:xfrm>
          <a:off x="8906741" y="4578990"/>
          <a:ext cx="1394423" cy="333381"/>
        </a:xfrm>
        <a:prstGeom prst="rect">
          <a:avLst/>
        </a:prstGeom>
        <a:noFill/>
      </xdr:spPr>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fld id="{F74B0C7F-DA76-4E81-8E6B-45C7C8713F42}" type="TxLink">
            <a:rPr lang="en-US" sz="1000" b="0" i="0" u="none" strike="noStrike" kern="1200">
              <a:solidFill>
                <a:srgbClr val="60ED49"/>
              </a:solidFill>
              <a:latin typeface="Calibri"/>
              <a:ea typeface="+mn-ea"/>
              <a:cs typeface="Calibri"/>
            </a:rPr>
            <a:pPr marL="0" indent="0" algn="ctr" defTabSz="914400" rtl="0" eaLnBrk="1" latinLnBrk="0" hangingPunct="1"/>
            <a:t> </a:t>
          </a:fld>
          <a:endParaRPr lang="ru-RU" sz="1000" b="0" i="0" u="none" strike="noStrike" kern="1200">
            <a:solidFill>
              <a:srgbClr val="60ED49"/>
            </a:solidFill>
            <a:latin typeface="Calibri"/>
            <a:ea typeface="+mn-ea"/>
            <a:cs typeface="Calibri"/>
          </a:endParaRPr>
        </a:p>
      </xdr:txBody>
    </xdr:sp>
    <xdr:clientData/>
  </xdr:twoCellAnchor>
  <xdr:twoCellAnchor>
    <xdr:from>
      <xdr:col>0</xdr:col>
      <xdr:colOff>325580</xdr:colOff>
      <xdr:row>25</xdr:row>
      <xdr:rowOff>129240</xdr:rowOff>
    </xdr:from>
    <xdr:to>
      <xdr:col>3</xdr:col>
      <xdr:colOff>237687</xdr:colOff>
      <xdr:row>27</xdr:row>
      <xdr:rowOff>41689</xdr:rowOff>
    </xdr:to>
    <xdr:sp macro="" textlink="Processing!A17">
      <xdr:nvSpPr>
        <xdr:cNvPr id="2098" name="TextBox 2097">
          <a:extLst>
            <a:ext uri="{FF2B5EF4-FFF2-40B4-BE49-F238E27FC236}">
              <a16:creationId xmlns:a16="http://schemas.microsoft.com/office/drawing/2014/main" id="{00000000-0008-0000-0200-000032080000}"/>
            </a:ext>
          </a:extLst>
        </xdr:cNvPr>
        <xdr:cNvSpPr txBox="1"/>
      </xdr:nvSpPr>
      <xdr:spPr>
        <a:xfrm>
          <a:off x="325580" y="4673277"/>
          <a:ext cx="1736713"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31D10F-969B-4E3F-B350-5027A9D89D37}" type="TxLink">
            <a:rPr lang="en-US" sz="1400" b="0" i="1" u="none" strike="noStrike">
              <a:solidFill>
                <a:schemeClr val="bg1"/>
              </a:solidFill>
              <a:latin typeface="Aptos Narrow"/>
              <a:ea typeface="+mn-ea"/>
              <a:cs typeface="+mn-cs"/>
            </a:rPr>
            <a:pPr marL="0" indent="0"/>
            <a:t>Monthly Profit Trends</a:t>
          </a:fld>
          <a:endParaRPr lang="ru-RU" sz="1400" b="0" i="1" u="none" strike="noStrike">
            <a:solidFill>
              <a:schemeClr val="bg1"/>
            </a:solidFill>
            <a:latin typeface="Aptos Narrow"/>
            <a:ea typeface="+mn-ea"/>
            <a:cs typeface="+mn-cs"/>
          </a:endParaRPr>
        </a:p>
      </xdr:txBody>
    </xdr:sp>
    <xdr:clientData/>
  </xdr:twoCellAnchor>
  <xdr:twoCellAnchor>
    <xdr:from>
      <xdr:col>6</xdr:col>
      <xdr:colOff>146475</xdr:colOff>
      <xdr:row>25</xdr:row>
      <xdr:rowOff>121620</xdr:rowOff>
    </xdr:from>
    <xdr:to>
      <xdr:col>7</xdr:col>
      <xdr:colOff>591726</xdr:colOff>
      <xdr:row>27</xdr:row>
      <xdr:rowOff>34069</xdr:rowOff>
    </xdr:to>
    <xdr:sp macro="" textlink="Processing!C30">
      <xdr:nvSpPr>
        <xdr:cNvPr id="2099" name="TextBox 2098">
          <a:extLst>
            <a:ext uri="{FF2B5EF4-FFF2-40B4-BE49-F238E27FC236}">
              <a16:creationId xmlns:a16="http://schemas.microsoft.com/office/drawing/2014/main" id="{00000000-0008-0000-0200-000033080000}"/>
            </a:ext>
          </a:extLst>
        </xdr:cNvPr>
        <xdr:cNvSpPr txBox="1"/>
      </xdr:nvSpPr>
      <xdr:spPr>
        <a:xfrm>
          <a:off x="3795686" y="4665657"/>
          <a:ext cx="1053453"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7F4F4F5-F854-4EA7-9EB1-9629EF2086F3}" type="TxLink">
            <a:rPr lang="en-US" sz="1600" b="0" i="1" u="none" strike="noStrike">
              <a:solidFill>
                <a:schemeClr val="bg1"/>
              </a:solidFill>
              <a:latin typeface="Aptos Narrow"/>
              <a:ea typeface="+mn-ea"/>
              <a:cs typeface="+mn-cs"/>
            </a:rPr>
            <a:pPr marL="0" indent="0" algn="l"/>
            <a:t> 144 168 </a:t>
          </a:fld>
          <a:endParaRPr lang="ru-RU" sz="1600" b="0" i="1" u="none" strike="noStrike">
            <a:solidFill>
              <a:schemeClr val="bg1"/>
            </a:solidFill>
            <a:latin typeface="Aptos Narrow"/>
            <a:ea typeface="+mn-ea"/>
            <a:cs typeface="+mn-cs"/>
          </a:endParaRPr>
        </a:p>
      </xdr:txBody>
    </xdr:sp>
    <xdr:clientData/>
  </xdr:twoCellAnchor>
  <xdr:twoCellAnchor>
    <xdr:from>
      <xdr:col>6</xdr:col>
      <xdr:colOff>20972</xdr:colOff>
      <xdr:row>1</xdr:row>
      <xdr:rowOff>125835</xdr:rowOff>
    </xdr:from>
    <xdr:to>
      <xdr:col>8</xdr:col>
      <xdr:colOff>237688</xdr:colOff>
      <xdr:row>4</xdr:row>
      <xdr:rowOff>76899</xdr:rowOff>
    </xdr:to>
    <xdr:sp macro="" textlink="">
      <xdr:nvSpPr>
        <xdr:cNvPr id="6" name="Rectangle 5">
          <a:hlinkClick xmlns:r="http://schemas.openxmlformats.org/officeDocument/2006/relationships" r:id="rId11"/>
          <a:extLst>
            <a:ext uri="{FF2B5EF4-FFF2-40B4-BE49-F238E27FC236}">
              <a16:creationId xmlns:a16="http://schemas.microsoft.com/office/drawing/2014/main" id="{6F7D5976-B9C9-C613-ED3D-5F76F425EDF3}"/>
            </a:ext>
          </a:extLst>
        </xdr:cNvPr>
        <xdr:cNvSpPr/>
      </xdr:nvSpPr>
      <xdr:spPr>
        <a:xfrm>
          <a:off x="3670183" y="307596"/>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342549</xdr:colOff>
      <xdr:row>1</xdr:row>
      <xdr:rowOff>125835</xdr:rowOff>
    </xdr:from>
    <xdr:to>
      <xdr:col>10</xdr:col>
      <xdr:colOff>559266</xdr:colOff>
      <xdr:row>4</xdr:row>
      <xdr:rowOff>76899</xdr:rowOff>
    </xdr:to>
    <xdr:sp macro="" textlink="">
      <xdr:nvSpPr>
        <xdr:cNvPr id="7" name="Rectangle 6">
          <a:hlinkClick xmlns:r="http://schemas.openxmlformats.org/officeDocument/2006/relationships" r:id="rId12"/>
          <a:extLst>
            <a:ext uri="{FF2B5EF4-FFF2-40B4-BE49-F238E27FC236}">
              <a16:creationId xmlns:a16="http://schemas.microsoft.com/office/drawing/2014/main" id="{5EB4D102-B23C-1B10-A152-BEF198078B96}"/>
            </a:ext>
          </a:extLst>
        </xdr:cNvPr>
        <xdr:cNvSpPr/>
      </xdr:nvSpPr>
      <xdr:spPr>
        <a:xfrm>
          <a:off x="5208164" y="307596"/>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13981</xdr:colOff>
      <xdr:row>1</xdr:row>
      <xdr:rowOff>125835</xdr:rowOff>
    </xdr:from>
    <xdr:to>
      <xdr:col>13</xdr:col>
      <xdr:colOff>230697</xdr:colOff>
      <xdr:row>4</xdr:row>
      <xdr:rowOff>76899</xdr:rowOff>
    </xdr:to>
    <xdr:sp macro="" textlink="">
      <xdr:nvSpPr>
        <xdr:cNvPr id="8" name="Rectangle 7">
          <a:hlinkClick xmlns:r="http://schemas.openxmlformats.org/officeDocument/2006/relationships" r:id="rId13"/>
          <a:extLst>
            <a:ext uri="{FF2B5EF4-FFF2-40B4-BE49-F238E27FC236}">
              <a16:creationId xmlns:a16="http://schemas.microsoft.com/office/drawing/2014/main" id="{102E0B5A-D647-7C72-C115-383275EE8138}"/>
            </a:ext>
          </a:extLst>
        </xdr:cNvPr>
        <xdr:cNvSpPr/>
      </xdr:nvSpPr>
      <xdr:spPr>
        <a:xfrm>
          <a:off x="6704201" y="307596"/>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307595</xdr:colOff>
      <xdr:row>1</xdr:row>
      <xdr:rowOff>125835</xdr:rowOff>
    </xdr:from>
    <xdr:to>
      <xdr:col>15</xdr:col>
      <xdr:colOff>524311</xdr:colOff>
      <xdr:row>4</xdr:row>
      <xdr:rowOff>76899</xdr:rowOff>
    </xdr:to>
    <xdr:sp macro="" textlink="">
      <xdr:nvSpPr>
        <xdr:cNvPr id="10" name="Rectangle 9">
          <a:hlinkClick xmlns:r="http://schemas.openxmlformats.org/officeDocument/2006/relationships" r:id="rId14"/>
          <a:extLst>
            <a:ext uri="{FF2B5EF4-FFF2-40B4-BE49-F238E27FC236}">
              <a16:creationId xmlns:a16="http://schemas.microsoft.com/office/drawing/2014/main" id="{823CB537-F4B7-3DBF-EE45-07A95255180C}"/>
            </a:ext>
          </a:extLst>
        </xdr:cNvPr>
        <xdr:cNvSpPr/>
      </xdr:nvSpPr>
      <xdr:spPr>
        <a:xfrm>
          <a:off x="8214219" y="307596"/>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594218</xdr:colOff>
      <xdr:row>1</xdr:row>
      <xdr:rowOff>125835</xdr:rowOff>
    </xdr:from>
    <xdr:to>
      <xdr:col>18</xdr:col>
      <xdr:colOff>202733</xdr:colOff>
      <xdr:row>4</xdr:row>
      <xdr:rowOff>76899</xdr:rowOff>
    </xdr:to>
    <xdr:sp macro="" textlink="">
      <xdr:nvSpPr>
        <xdr:cNvPr id="15" name="Rectangle 14">
          <a:hlinkClick xmlns:r="http://schemas.openxmlformats.org/officeDocument/2006/relationships" r:id="rId15"/>
          <a:extLst>
            <a:ext uri="{FF2B5EF4-FFF2-40B4-BE49-F238E27FC236}">
              <a16:creationId xmlns:a16="http://schemas.microsoft.com/office/drawing/2014/main" id="{2959130F-A8AE-865D-C520-3D19EF3608AA}"/>
            </a:ext>
          </a:extLst>
        </xdr:cNvPr>
        <xdr:cNvSpPr/>
      </xdr:nvSpPr>
      <xdr:spPr>
        <a:xfrm>
          <a:off x="9717246" y="307596"/>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0</xdr:colOff>
      <xdr:row>37</xdr:row>
      <xdr:rowOff>91440</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0" y="0"/>
          <a:ext cx="12192000" cy="6858000"/>
        </a:xfrm>
        <a:prstGeom prst="rect">
          <a:avLst/>
        </a:prstGeom>
        <a:solidFill>
          <a:srgbClr val="04040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0</xdr:colOff>
      <xdr:row>0</xdr:row>
      <xdr:rowOff>0</xdr:rowOff>
    </xdr:from>
    <xdr:to>
      <xdr:col>23</xdr:col>
      <xdr:colOff>304800</xdr:colOff>
      <xdr:row>40</xdr:row>
      <xdr:rowOff>21365</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0" y="0"/>
          <a:ext cx="14325600" cy="7336565"/>
        </a:xfrm>
        <a:prstGeom prst="rect">
          <a:avLst/>
        </a:prstGeom>
        <a:gradFill flip="none" rotWithShape="1">
          <a:gsLst>
            <a:gs pos="5000">
              <a:srgbClr val="5B208C"/>
            </a:gs>
            <a:gs pos="38000">
              <a:srgbClr val="04040F"/>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122105</xdr:colOff>
      <xdr:row>1</xdr:row>
      <xdr:rowOff>53793</xdr:rowOff>
    </xdr:from>
    <xdr:to>
      <xdr:col>21</xdr:col>
      <xdr:colOff>235010</xdr:colOff>
      <xdr:row>36</xdr:row>
      <xdr:rowOff>111853</xdr:rowOff>
    </xdr:to>
    <xdr:sp macro="" textlink="">
      <xdr:nvSpPr>
        <xdr:cNvPr id="4" name="Rectangle: Rounded Corners 3">
          <a:extLst>
            <a:ext uri="{FF2B5EF4-FFF2-40B4-BE49-F238E27FC236}">
              <a16:creationId xmlns:a16="http://schemas.microsoft.com/office/drawing/2014/main" id="{00000000-0008-0000-0300-000004000000}"/>
            </a:ext>
          </a:extLst>
        </xdr:cNvPr>
        <xdr:cNvSpPr/>
      </xdr:nvSpPr>
      <xdr:spPr>
        <a:xfrm>
          <a:off x="122105" y="235554"/>
          <a:ext cx="12885144" cy="6419712"/>
        </a:xfrm>
        <a:prstGeom prst="roundRect">
          <a:avLst>
            <a:gd name="adj" fmla="val 5451"/>
          </a:avLst>
        </a:prstGeom>
        <a:gradFill flip="none" rotWithShape="1">
          <a:gsLst>
            <a:gs pos="0">
              <a:srgbClr val="1F0B2F"/>
            </a:gs>
            <a:gs pos="95000">
              <a:srgbClr val="171723"/>
            </a:gs>
          </a:gsLst>
          <a:lin ang="2700000" scaled="0"/>
          <a:tileRect/>
        </a:gradFill>
        <a:ln w="12700">
          <a:gradFill>
            <a:gsLst>
              <a:gs pos="0">
                <a:schemeClr val="bg1"/>
              </a:gs>
              <a:gs pos="74000">
                <a:srgbClr val="AB48D6"/>
              </a:gs>
              <a:gs pos="43000">
                <a:srgbClr val="9D4EDD"/>
              </a:gs>
            </a:gsLst>
            <a:lin ang="2700000" scaled="0"/>
          </a:gradFill>
        </a:ln>
        <a:effectLst>
          <a:outerShdw blurRad="508000" dist="190500" dir="16200000" algn="br" rotWithShape="0">
            <a:srgbClr val="AB48D6">
              <a:alpha val="7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150338</xdr:colOff>
      <xdr:row>1</xdr:row>
      <xdr:rowOff>71692</xdr:rowOff>
    </xdr:from>
    <xdr:to>
      <xdr:col>21</xdr:col>
      <xdr:colOff>220766</xdr:colOff>
      <xdr:row>5</xdr:row>
      <xdr:rowOff>41563</xdr:rowOff>
    </xdr:to>
    <xdr:sp macro="" textlink="">
      <xdr:nvSpPr>
        <xdr:cNvPr id="5" name="Freeform: Shape 4">
          <a:extLst>
            <a:ext uri="{FF2B5EF4-FFF2-40B4-BE49-F238E27FC236}">
              <a16:creationId xmlns:a16="http://schemas.microsoft.com/office/drawing/2014/main" id="{00000000-0008-0000-0300-000005000000}"/>
            </a:ext>
          </a:extLst>
        </xdr:cNvPr>
        <xdr:cNvSpPr/>
      </xdr:nvSpPr>
      <xdr:spPr>
        <a:xfrm>
          <a:off x="150338" y="254572"/>
          <a:ext cx="12872028" cy="701391"/>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gradFill flip="none" rotWithShape="1">
          <a:gsLst>
            <a:gs pos="0">
              <a:srgbClr val="212743"/>
            </a:gs>
            <a:gs pos="100000">
              <a:srgbClr val="202644"/>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55696</xdr:colOff>
      <xdr:row>2</xdr:row>
      <xdr:rowOff>23539</xdr:rowOff>
    </xdr:from>
    <xdr:to>
      <xdr:col>8</xdr:col>
      <xdr:colOff>208096</xdr:colOff>
      <xdr:row>4</xdr:row>
      <xdr:rowOff>35255</xdr:rowOff>
    </xdr:to>
    <xdr:sp macro="" textlink="">
      <xdr:nvSpPr>
        <xdr:cNvPr id="6" name="Rectangle: Rounded Corners 5">
          <a:extLst>
            <a:ext uri="{FF2B5EF4-FFF2-40B4-BE49-F238E27FC236}">
              <a16:creationId xmlns:a16="http://schemas.microsoft.com/office/drawing/2014/main" id="{00000000-0008-0000-0300-000006000000}"/>
            </a:ext>
          </a:extLst>
        </xdr:cNvPr>
        <xdr:cNvSpPr/>
      </xdr:nvSpPr>
      <xdr:spPr>
        <a:xfrm>
          <a:off x="3713296"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Dashboard</a:t>
          </a:r>
          <a:endParaRPr lang="ru-RU" sz="1100" b="0" kern="1200">
            <a:solidFill>
              <a:schemeClr val="accent1">
                <a:lumMod val="20000"/>
                <a:lumOff val="80000"/>
              </a:schemeClr>
            </a:solidFill>
            <a:effectLst/>
            <a:latin typeface="+mn-lt"/>
            <a:ea typeface="+mn-ea"/>
            <a:cs typeface="+mn-cs"/>
          </a:endParaRPr>
        </a:p>
      </xdr:txBody>
    </xdr:sp>
    <xdr:clientData/>
  </xdr:twoCellAnchor>
  <xdr:twoCellAnchor>
    <xdr:from>
      <xdr:col>11</xdr:col>
      <xdr:colOff>36128</xdr:colOff>
      <xdr:row>2</xdr:row>
      <xdr:rowOff>23539</xdr:rowOff>
    </xdr:from>
    <xdr:to>
      <xdr:col>13</xdr:col>
      <xdr:colOff>188528</xdr:colOff>
      <xdr:row>4</xdr:row>
      <xdr:rowOff>35255</xdr:rowOff>
    </xdr:to>
    <xdr:sp macro="" textlink="">
      <xdr:nvSpPr>
        <xdr:cNvPr id="7" name="Rectangle: Rounded Corners 6">
          <a:extLst>
            <a:ext uri="{FF2B5EF4-FFF2-40B4-BE49-F238E27FC236}">
              <a16:creationId xmlns:a16="http://schemas.microsoft.com/office/drawing/2014/main" id="{00000000-0008-0000-0300-000007000000}"/>
            </a:ext>
          </a:extLst>
        </xdr:cNvPr>
        <xdr:cNvSpPr/>
      </xdr:nvSpPr>
      <xdr:spPr>
        <a:xfrm>
          <a:off x="6741728"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Operations</a:t>
          </a:r>
          <a:endParaRPr lang="ru-RU" sz="1050" b="0" kern="1200">
            <a:solidFill>
              <a:schemeClr val="accent1">
                <a:lumMod val="20000"/>
                <a:lumOff val="80000"/>
              </a:schemeClr>
            </a:solidFill>
            <a:latin typeface="+mn-lt"/>
            <a:ea typeface="+mn-ea"/>
            <a:cs typeface="+mn-cs"/>
          </a:endParaRPr>
        </a:p>
      </xdr:txBody>
    </xdr:sp>
    <xdr:clientData/>
  </xdr:twoCellAnchor>
  <xdr:twoCellAnchor>
    <xdr:from>
      <xdr:col>8</xdr:col>
      <xdr:colOff>350712</xdr:colOff>
      <xdr:row>2</xdr:row>
      <xdr:rowOff>23539</xdr:rowOff>
    </xdr:from>
    <xdr:to>
      <xdr:col>10</xdr:col>
      <xdr:colOff>503112</xdr:colOff>
      <xdr:row>4</xdr:row>
      <xdr:rowOff>35255</xdr:rowOff>
    </xdr:to>
    <xdr:sp macro="" textlink="">
      <xdr:nvSpPr>
        <xdr:cNvPr id="8" name="Rectangle: Rounded Corners 7">
          <a:extLst>
            <a:ext uri="{FF2B5EF4-FFF2-40B4-BE49-F238E27FC236}">
              <a16:creationId xmlns:a16="http://schemas.microsoft.com/office/drawing/2014/main" id="{00000000-0008-0000-0300-000008000000}"/>
            </a:ext>
          </a:extLst>
        </xdr:cNvPr>
        <xdr:cNvSpPr/>
      </xdr:nvSpPr>
      <xdr:spPr>
        <a:xfrm>
          <a:off x="5227512" y="389299"/>
          <a:ext cx="1371600" cy="377476"/>
        </a:xfrm>
        <a:prstGeom prst="roundRect">
          <a:avLst>
            <a:gd name="adj" fmla="val 49653"/>
          </a:avLst>
        </a:prstGeom>
        <a:solidFill>
          <a:srgbClr val="0000FF">
            <a:alpha val="32000"/>
          </a:srgbClr>
        </a:solidFill>
        <a:ln w="6350">
          <a:solidFill>
            <a:schemeClr val="bg1"/>
          </a:solidFill>
        </a:ln>
        <a:effectLst>
          <a:glow rad="101600">
            <a:srgbClr val="00B0F0">
              <a:alpha val="10000"/>
            </a:srgbClr>
          </a:glow>
          <a:outerShdw blurRad="127000" sx="105000" sy="105000" algn="tl" rotWithShape="0">
            <a:srgbClr val="0000FF">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400" kern="1200">
              <a:solidFill>
                <a:schemeClr val="bg1"/>
              </a:solidFill>
              <a:latin typeface="+mn-lt"/>
              <a:ea typeface="+mn-ea"/>
              <a:cs typeface="+mn-cs"/>
            </a:rPr>
            <a:t>Profitability </a:t>
          </a:r>
          <a:endParaRPr lang="ru-RU" sz="1400" kern="1200">
            <a:solidFill>
              <a:schemeClr val="bg1"/>
            </a:solidFill>
            <a:latin typeface="+mn-lt"/>
            <a:ea typeface="+mn-ea"/>
            <a:cs typeface="+mn-cs"/>
          </a:endParaRPr>
        </a:p>
      </xdr:txBody>
    </xdr:sp>
    <xdr:clientData/>
  </xdr:twoCellAnchor>
  <xdr:twoCellAnchor>
    <xdr:from>
      <xdr:col>13</xdr:col>
      <xdr:colOff>331144</xdr:colOff>
      <xdr:row>2</xdr:row>
      <xdr:rowOff>23539</xdr:rowOff>
    </xdr:from>
    <xdr:to>
      <xdr:col>15</xdr:col>
      <xdr:colOff>483544</xdr:colOff>
      <xdr:row>4</xdr:row>
      <xdr:rowOff>35255</xdr:rowOff>
    </xdr:to>
    <xdr:sp macro="" textlink="">
      <xdr:nvSpPr>
        <xdr:cNvPr id="9" name="Rectangle: Rounded Corners 8">
          <a:extLst>
            <a:ext uri="{FF2B5EF4-FFF2-40B4-BE49-F238E27FC236}">
              <a16:creationId xmlns:a16="http://schemas.microsoft.com/office/drawing/2014/main" id="{00000000-0008-0000-0300-000009000000}"/>
            </a:ext>
          </a:extLst>
        </xdr:cNvPr>
        <xdr:cNvSpPr/>
      </xdr:nvSpPr>
      <xdr:spPr>
        <a:xfrm>
          <a:off x="8255944"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Dataset</a:t>
          </a:r>
          <a:endParaRPr lang="ru-RU" sz="1050" b="0" kern="1200">
            <a:solidFill>
              <a:schemeClr val="accent1">
                <a:lumMod val="20000"/>
                <a:lumOff val="80000"/>
              </a:schemeClr>
            </a:solidFill>
            <a:latin typeface="+mn-lt"/>
            <a:ea typeface="+mn-ea"/>
            <a:cs typeface="+mn-cs"/>
          </a:endParaRPr>
        </a:p>
      </xdr:txBody>
    </xdr:sp>
    <xdr:clientData/>
  </xdr:twoCellAnchor>
  <xdr:twoCellAnchor>
    <xdr:from>
      <xdr:col>0</xdr:col>
      <xdr:colOff>186584</xdr:colOff>
      <xdr:row>2</xdr:row>
      <xdr:rowOff>45335</xdr:rowOff>
    </xdr:from>
    <xdr:to>
      <xdr:col>5</xdr:col>
      <xdr:colOff>491835</xdr:colOff>
      <xdr:row>4</xdr:row>
      <xdr:rowOff>41170</xdr:rowOff>
    </xdr:to>
    <xdr:sp macro="" textlink="">
      <xdr:nvSpPr>
        <xdr:cNvPr id="10" name="TextBox 158">
          <a:extLst>
            <a:ext uri="{FF2B5EF4-FFF2-40B4-BE49-F238E27FC236}">
              <a16:creationId xmlns:a16="http://schemas.microsoft.com/office/drawing/2014/main" id="{00000000-0008-0000-0300-00000A000000}"/>
            </a:ext>
          </a:extLst>
        </xdr:cNvPr>
        <xdr:cNvSpPr txBox="1"/>
      </xdr:nvSpPr>
      <xdr:spPr>
        <a:xfrm>
          <a:off x="186584" y="411095"/>
          <a:ext cx="3353251" cy="361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l" defTabSz="914400" rtl="0" eaLnBrk="1" latinLnBrk="0" hangingPunct="1"/>
          <a:r>
            <a:rPr lang="en-US" sz="2400" b="1" kern="1200">
              <a:solidFill>
                <a:srgbClr val="BFFAFF"/>
              </a:solidFill>
              <a:latin typeface="Anek Tamil ExtraBold" pitchFamily="2" charset="0"/>
              <a:ea typeface="+mn-ea"/>
              <a:cs typeface="Anek Tamil ExtraBold" pitchFamily="2" charset="0"/>
            </a:rPr>
            <a:t>MarketPulse </a:t>
          </a:r>
          <a:r>
            <a:rPr lang="en-US" sz="2400" b="1" kern="1200">
              <a:solidFill>
                <a:schemeClr val="bg1"/>
              </a:solidFill>
              <a:latin typeface="Anek Tamil ExtraBold" pitchFamily="2" charset="0"/>
              <a:ea typeface="+mn-ea"/>
              <a:cs typeface="Anek Tamil ExtraBold" pitchFamily="2" charset="0"/>
            </a:rPr>
            <a:t>Analytics</a:t>
          </a:r>
        </a:p>
      </xdr:txBody>
    </xdr:sp>
    <xdr:clientData/>
  </xdr:twoCellAnchor>
  <xdr:twoCellAnchor>
    <xdr:from>
      <xdr:col>16</xdr:col>
      <xdr:colOff>16560</xdr:colOff>
      <xdr:row>2</xdr:row>
      <xdr:rowOff>23539</xdr:rowOff>
    </xdr:from>
    <xdr:to>
      <xdr:col>18</xdr:col>
      <xdr:colOff>168960</xdr:colOff>
      <xdr:row>4</xdr:row>
      <xdr:rowOff>35255</xdr:rowOff>
    </xdr:to>
    <xdr:sp macro="" textlink="">
      <xdr:nvSpPr>
        <xdr:cNvPr id="11" name="Rectangle: Rounded Corners 10">
          <a:extLst>
            <a:ext uri="{FF2B5EF4-FFF2-40B4-BE49-F238E27FC236}">
              <a16:creationId xmlns:a16="http://schemas.microsoft.com/office/drawing/2014/main" id="{00000000-0008-0000-0300-00000B000000}"/>
            </a:ext>
          </a:extLst>
        </xdr:cNvPr>
        <xdr:cNvSpPr/>
      </xdr:nvSpPr>
      <xdr:spPr>
        <a:xfrm>
          <a:off x="9770160"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Insights</a:t>
          </a:r>
          <a:endParaRPr lang="ru-RU" sz="1050" b="0" kern="1200">
            <a:solidFill>
              <a:schemeClr val="accent1">
                <a:lumMod val="20000"/>
                <a:lumOff val="80000"/>
              </a:schemeClr>
            </a:solidFill>
            <a:latin typeface="+mn-lt"/>
            <a:ea typeface="+mn-ea"/>
            <a:cs typeface="+mn-cs"/>
          </a:endParaRPr>
        </a:p>
      </xdr:txBody>
    </xdr:sp>
    <xdr:clientData/>
  </xdr:twoCellAnchor>
  <xdr:twoCellAnchor>
    <xdr:from>
      <xdr:col>0</xdr:col>
      <xdr:colOff>250124</xdr:colOff>
      <xdr:row>12</xdr:row>
      <xdr:rowOff>9703</xdr:rowOff>
    </xdr:from>
    <xdr:to>
      <xdr:col>8</xdr:col>
      <xdr:colOff>454402</xdr:colOff>
      <xdr:row>24</xdr:row>
      <xdr:rowOff>166255</xdr:rowOff>
    </xdr:to>
    <xdr:sp macro="" textlink="">
      <xdr:nvSpPr>
        <xdr:cNvPr id="12" name="Rectangle: Rounded Corners 11">
          <a:extLst>
            <a:ext uri="{FF2B5EF4-FFF2-40B4-BE49-F238E27FC236}">
              <a16:creationId xmlns:a16="http://schemas.microsoft.com/office/drawing/2014/main" id="{00000000-0008-0000-0300-00000C000000}"/>
            </a:ext>
          </a:extLst>
        </xdr:cNvPr>
        <xdr:cNvSpPr/>
      </xdr:nvSpPr>
      <xdr:spPr>
        <a:xfrm>
          <a:off x="250124" y="2190841"/>
          <a:ext cx="5069893" cy="2337689"/>
        </a:xfrm>
        <a:prstGeom prst="roundRect">
          <a:avLst>
            <a:gd name="adj" fmla="val 9134"/>
          </a:avLst>
        </a:prstGeom>
        <a:gradFill flip="none" rotWithShape="1">
          <a:gsLst>
            <a:gs pos="75000">
              <a:srgbClr val="080614"/>
            </a:gs>
            <a:gs pos="0">
              <a:srgbClr val="140C2E"/>
            </a:gs>
          </a:gsLst>
          <a:lin ang="5400000" scaled="0"/>
          <a:tileRect/>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200" kern="1200">
            <a:solidFill>
              <a:schemeClr val="bg1"/>
            </a:solidFill>
            <a:latin typeface="Aptos Narrow"/>
            <a:ea typeface="+mn-ea"/>
            <a:cs typeface="+mn-cs"/>
          </a:endParaRPr>
        </a:p>
      </xdr:txBody>
    </xdr:sp>
    <xdr:clientData/>
  </xdr:twoCellAnchor>
  <xdr:twoCellAnchor>
    <xdr:from>
      <xdr:col>0</xdr:col>
      <xdr:colOff>277090</xdr:colOff>
      <xdr:row>4</xdr:row>
      <xdr:rowOff>20782</xdr:rowOff>
    </xdr:from>
    <xdr:to>
      <xdr:col>3</xdr:col>
      <xdr:colOff>200891</xdr:colOff>
      <xdr:row>4</xdr:row>
      <xdr:rowOff>20782</xdr:rowOff>
    </xdr:to>
    <xdr:cxnSp macro="">
      <xdr:nvCxnSpPr>
        <xdr:cNvPr id="13" name="Straight Connector 12">
          <a:extLst>
            <a:ext uri="{FF2B5EF4-FFF2-40B4-BE49-F238E27FC236}">
              <a16:creationId xmlns:a16="http://schemas.microsoft.com/office/drawing/2014/main" id="{00000000-0008-0000-0300-00000D000000}"/>
            </a:ext>
          </a:extLst>
        </xdr:cNvPr>
        <xdr:cNvCxnSpPr/>
      </xdr:nvCxnSpPr>
      <xdr:spPr>
        <a:xfrm flipH="1">
          <a:off x="277090" y="752302"/>
          <a:ext cx="1752601" cy="0"/>
        </a:xfrm>
        <a:prstGeom prst="line">
          <a:avLst/>
        </a:prstGeom>
        <a:ln>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566257</xdr:colOff>
      <xdr:row>12</xdr:row>
      <xdr:rowOff>9703</xdr:rowOff>
    </xdr:from>
    <xdr:to>
      <xdr:col>16</xdr:col>
      <xdr:colOff>405468</xdr:colOff>
      <xdr:row>26</xdr:row>
      <xdr:rowOff>118845</xdr:rowOff>
    </xdr:to>
    <xdr:sp macro="" textlink="">
      <xdr:nvSpPr>
        <xdr:cNvPr id="15" name="Rectangle: Rounded Corners 14">
          <a:extLst>
            <a:ext uri="{FF2B5EF4-FFF2-40B4-BE49-F238E27FC236}">
              <a16:creationId xmlns:a16="http://schemas.microsoft.com/office/drawing/2014/main" id="{00000000-0008-0000-0300-00000F000000}"/>
            </a:ext>
          </a:extLst>
        </xdr:cNvPr>
        <xdr:cNvSpPr/>
      </xdr:nvSpPr>
      <xdr:spPr>
        <a:xfrm>
          <a:off x="5431872" y="2190841"/>
          <a:ext cx="4704825" cy="2653802"/>
        </a:xfrm>
        <a:prstGeom prst="roundRect">
          <a:avLst>
            <a:gd name="adj" fmla="val 5375"/>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0</xdr:col>
      <xdr:colOff>250126</xdr:colOff>
      <xdr:row>25</xdr:row>
      <xdr:rowOff>132826</xdr:rowOff>
    </xdr:from>
    <xdr:to>
      <xdr:col>8</xdr:col>
      <xdr:colOff>447413</xdr:colOff>
      <xdr:row>35</xdr:row>
      <xdr:rowOff>181064</xdr:rowOff>
    </xdr:to>
    <xdr:sp macro="" textlink="">
      <xdr:nvSpPr>
        <xdr:cNvPr id="17" name="Rectangle: Rounded Corners 16">
          <a:extLst>
            <a:ext uri="{FF2B5EF4-FFF2-40B4-BE49-F238E27FC236}">
              <a16:creationId xmlns:a16="http://schemas.microsoft.com/office/drawing/2014/main" id="{00000000-0008-0000-0300-000011000000}"/>
            </a:ext>
          </a:extLst>
        </xdr:cNvPr>
        <xdr:cNvSpPr/>
      </xdr:nvSpPr>
      <xdr:spPr>
        <a:xfrm>
          <a:off x="250126" y="4676863"/>
          <a:ext cx="5062902" cy="1865852"/>
        </a:xfrm>
        <a:prstGeom prst="roundRect">
          <a:avLst>
            <a:gd name="adj" fmla="val 9134"/>
          </a:avLst>
        </a:prstGeom>
        <a:gradFill flip="none" rotWithShape="1">
          <a:gsLst>
            <a:gs pos="75000">
              <a:srgbClr val="080614"/>
            </a:gs>
            <a:gs pos="0">
              <a:srgbClr val="140C2E"/>
            </a:gs>
          </a:gsLst>
          <a:lin ang="5400000" scaled="0"/>
          <a:tileRect/>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200" kern="1200">
            <a:solidFill>
              <a:schemeClr val="bg1"/>
            </a:solidFill>
            <a:latin typeface="Aptos Narrow"/>
            <a:ea typeface="+mn-ea"/>
            <a:cs typeface="+mn-cs"/>
          </a:endParaRPr>
        </a:p>
      </xdr:txBody>
    </xdr:sp>
    <xdr:clientData/>
  </xdr:twoCellAnchor>
  <xdr:twoCellAnchor>
    <xdr:from>
      <xdr:col>16</xdr:col>
      <xdr:colOff>538293</xdr:colOff>
      <xdr:row>18</xdr:row>
      <xdr:rowOff>160789</xdr:rowOff>
    </xdr:from>
    <xdr:to>
      <xdr:col>21</xdr:col>
      <xdr:colOff>42728</xdr:colOff>
      <xdr:row>35</xdr:row>
      <xdr:rowOff>181063</xdr:rowOff>
    </xdr:to>
    <xdr:sp macro="" textlink="">
      <xdr:nvSpPr>
        <xdr:cNvPr id="18" name="Rectangle: Rounded Corners 17">
          <a:extLst>
            <a:ext uri="{FF2B5EF4-FFF2-40B4-BE49-F238E27FC236}">
              <a16:creationId xmlns:a16="http://schemas.microsoft.com/office/drawing/2014/main" id="{00000000-0008-0000-0300-000012000000}"/>
            </a:ext>
          </a:extLst>
        </xdr:cNvPr>
        <xdr:cNvSpPr/>
      </xdr:nvSpPr>
      <xdr:spPr>
        <a:xfrm>
          <a:off x="10269522" y="3432495"/>
          <a:ext cx="2545445" cy="3110219"/>
        </a:xfrm>
        <a:prstGeom prst="roundRect">
          <a:avLst>
            <a:gd name="adj" fmla="val 9134"/>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16</xdr:col>
      <xdr:colOff>517320</xdr:colOff>
      <xdr:row>5</xdr:row>
      <xdr:rowOff>130217</xdr:rowOff>
    </xdr:from>
    <xdr:to>
      <xdr:col>21</xdr:col>
      <xdr:colOff>28485</xdr:colOff>
      <xdr:row>18</xdr:row>
      <xdr:rowOff>48936</xdr:rowOff>
    </xdr:to>
    <xdr:sp macro="" textlink="">
      <xdr:nvSpPr>
        <xdr:cNvPr id="19" name="Rectangle: Rounded Corners 18">
          <a:extLst>
            <a:ext uri="{FF2B5EF4-FFF2-40B4-BE49-F238E27FC236}">
              <a16:creationId xmlns:a16="http://schemas.microsoft.com/office/drawing/2014/main" id="{00000000-0008-0000-0300-000013000000}"/>
            </a:ext>
          </a:extLst>
        </xdr:cNvPr>
        <xdr:cNvSpPr/>
      </xdr:nvSpPr>
      <xdr:spPr>
        <a:xfrm>
          <a:off x="10248549" y="1039024"/>
          <a:ext cx="2552175" cy="2281618"/>
        </a:xfrm>
        <a:prstGeom prst="roundRect">
          <a:avLst>
            <a:gd name="adj" fmla="val 9134"/>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0</xdr:col>
      <xdr:colOff>266304</xdr:colOff>
      <xdr:row>5</xdr:row>
      <xdr:rowOff>166065</xdr:rowOff>
    </xdr:from>
    <xdr:to>
      <xdr:col>3</xdr:col>
      <xdr:colOff>266304</xdr:colOff>
      <xdr:row>11</xdr:row>
      <xdr:rowOff>36386</xdr:rowOff>
    </xdr:to>
    <xdr:grpSp>
      <xdr:nvGrpSpPr>
        <xdr:cNvPr id="21" name="Group 20">
          <a:extLst>
            <a:ext uri="{FF2B5EF4-FFF2-40B4-BE49-F238E27FC236}">
              <a16:creationId xmlns:a16="http://schemas.microsoft.com/office/drawing/2014/main" id="{00000000-0008-0000-0300-000015000000}"/>
            </a:ext>
          </a:extLst>
        </xdr:cNvPr>
        <xdr:cNvGrpSpPr/>
      </xdr:nvGrpSpPr>
      <xdr:grpSpPr>
        <a:xfrm>
          <a:off x="266304" y="1065648"/>
          <a:ext cx="1841500" cy="949821"/>
          <a:chOff x="5141975" y="3121152"/>
          <a:chExt cx="1908049" cy="1347217"/>
        </a:xfrm>
        <a:effectLst/>
      </xdr:grpSpPr>
      <xdr:sp macro="" textlink="">
        <xdr:nvSpPr>
          <xdr:cNvPr id="22" name="Rectangle: Rounded Corners 21">
            <a:extLst>
              <a:ext uri="{FF2B5EF4-FFF2-40B4-BE49-F238E27FC236}">
                <a16:creationId xmlns:a16="http://schemas.microsoft.com/office/drawing/2014/main" id="{00000000-0008-0000-0300-000016000000}"/>
              </a:ext>
            </a:extLst>
          </xdr:cNvPr>
          <xdr:cNvSpPr/>
        </xdr:nvSpPr>
        <xdr:spPr>
          <a:xfrm>
            <a:off x="5141975" y="3121153"/>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3" name="Rectangle: Rounded Corners 22">
            <a:extLst>
              <a:ext uri="{FF2B5EF4-FFF2-40B4-BE49-F238E27FC236}">
                <a16:creationId xmlns:a16="http://schemas.microsoft.com/office/drawing/2014/main" id="{00000000-0008-0000-0300-000017000000}"/>
              </a:ext>
            </a:extLst>
          </xdr:cNvPr>
          <xdr:cNvSpPr/>
        </xdr:nvSpPr>
        <xdr:spPr>
          <a:xfrm>
            <a:off x="5141976" y="3121152"/>
            <a:ext cx="1908048" cy="1347216"/>
          </a:xfrm>
          <a:prstGeom prst="roundRect">
            <a:avLst>
              <a:gd name="adj" fmla="val 9880"/>
            </a:avLst>
          </a:prstGeom>
          <a:gradFill flip="none" rotWithShape="1">
            <a:gsLst>
              <a:gs pos="100000">
                <a:srgbClr val="1F1F98">
                  <a:alpha val="0"/>
                </a:srgbClr>
              </a:gs>
              <a:gs pos="5000">
                <a:srgbClr val="1EC0E2"/>
              </a:gs>
            </a:gsLst>
            <a:lin ang="2700000" scaled="1"/>
            <a:tileRect/>
          </a:gradFill>
          <a:ln w="9525">
            <a:gradFill flip="none" rotWithShape="1">
              <a:gsLst>
                <a:gs pos="21000">
                  <a:srgbClr val="9DFFFF"/>
                </a:gs>
                <a:gs pos="81000">
                  <a:srgbClr val="CC00FF"/>
                </a:gs>
              </a:gsLst>
              <a:lin ang="27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0</xdr:col>
      <xdr:colOff>386344</xdr:colOff>
      <xdr:row>5</xdr:row>
      <xdr:rowOff>159138</xdr:rowOff>
    </xdr:from>
    <xdr:to>
      <xdr:col>3</xdr:col>
      <xdr:colOff>146264</xdr:colOff>
      <xdr:row>8</xdr:row>
      <xdr:rowOff>19739</xdr:rowOff>
    </xdr:to>
    <xdr:sp macro="" textlink="Processing!B1">
      <xdr:nvSpPr>
        <xdr:cNvPr id="24" name="TextBox 23">
          <a:extLst>
            <a:ext uri="{FF2B5EF4-FFF2-40B4-BE49-F238E27FC236}">
              <a16:creationId xmlns:a16="http://schemas.microsoft.com/office/drawing/2014/main" id="{00000000-0008-0000-0300-000018000000}"/>
            </a:ext>
          </a:extLst>
        </xdr:cNvPr>
        <xdr:cNvSpPr txBox="1"/>
      </xdr:nvSpPr>
      <xdr:spPr>
        <a:xfrm>
          <a:off x="386344" y="1073538"/>
          <a:ext cx="1588720" cy="40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5F54E37-A099-4E53-AC09-FBA0B7BFCE8F}" type="TxLink">
            <a:rPr lang="en-US" sz="1800" b="0" i="0" u="none" strike="noStrike">
              <a:solidFill>
                <a:schemeClr val="bg1"/>
              </a:solidFill>
              <a:latin typeface="Aptos Narrow"/>
              <a:ea typeface="+mn-ea"/>
              <a:cs typeface="+mn-cs"/>
            </a:rPr>
            <a:pPr marL="0" indent="0" algn="ctr"/>
            <a:t>Total Revenue</a:t>
          </a:fld>
          <a:endParaRPr lang="ru-RU" sz="1800" b="0" i="0" u="none" strike="noStrike">
            <a:solidFill>
              <a:schemeClr val="bg1"/>
            </a:solidFill>
            <a:latin typeface="Aptos Narrow"/>
            <a:ea typeface="+mn-ea"/>
            <a:cs typeface="+mn-cs"/>
          </a:endParaRPr>
        </a:p>
      </xdr:txBody>
    </xdr:sp>
    <xdr:clientData/>
  </xdr:twoCellAnchor>
  <xdr:twoCellAnchor>
    <xdr:from>
      <xdr:col>0</xdr:col>
      <xdr:colOff>257052</xdr:colOff>
      <xdr:row>7</xdr:row>
      <xdr:rowOff>36421</xdr:rowOff>
    </xdr:from>
    <xdr:to>
      <xdr:col>3</xdr:col>
      <xdr:colOff>242454</xdr:colOff>
      <xdr:row>9</xdr:row>
      <xdr:rowOff>96982</xdr:rowOff>
    </xdr:to>
    <xdr:sp macro="" textlink="Processing!B2">
      <xdr:nvSpPr>
        <xdr:cNvPr id="25" name="TextBox 24">
          <a:extLst>
            <a:ext uri="{FF2B5EF4-FFF2-40B4-BE49-F238E27FC236}">
              <a16:creationId xmlns:a16="http://schemas.microsoft.com/office/drawing/2014/main" id="{00000000-0008-0000-0300-000019000000}"/>
            </a:ext>
          </a:extLst>
        </xdr:cNvPr>
        <xdr:cNvSpPr txBox="1"/>
      </xdr:nvSpPr>
      <xdr:spPr>
        <a:xfrm>
          <a:off x="257052" y="1316581"/>
          <a:ext cx="1814202" cy="426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57E41CE-C207-4DA8-9D2C-8BB6228898E6}" type="TxLink">
            <a:rPr lang="en-US" sz="2800" b="0" i="0" u="none" strike="noStrike">
              <a:solidFill>
                <a:schemeClr val="bg1"/>
              </a:solidFill>
              <a:latin typeface="Aptos Narrow"/>
              <a:ea typeface="+mn-ea"/>
              <a:cs typeface="+mn-cs"/>
            </a:rPr>
            <a:pPr marL="0" indent="0" algn="l"/>
            <a:t>$ 401 665 </a:t>
          </a:fld>
          <a:endParaRPr lang="ru-RU" sz="2800" b="0" i="0" u="none" strike="noStrike">
            <a:solidFill>
              <a:schemeClr val="bg1"/>
            </a:solidFill>
            <a:latin typeface="Aptos Narrow"/>
            <a:ea typeface="+mn-ea"/>
            <a:cs typeface="+mn-cs"/>
          </a:endParaRPr>
        </a:p>
      </xdr:txBody>
    </xdr:sp>
    <xdr:clientData/>
  </xdr:twoCellAnchor>
  <xdr:twoCellAnchor>
    <xdr:from>
      <xdr:col>3</xdr:col>
      <xdr:colOff>386839</xdr:colOff>
      <xdr:row>5</xdr:row>
      <xdr:rowOff>166065</xdr:rowOff>
    </xdr:from>
    <xdr:to>
      <xdr:col>6</xdr:col>
      <xdr:colOff>386839</xdr:colOff>
      <xdr:row>11</xdr:row>
      <xdr:rowOff>36386</xdr:rowOff>
    </xdr:to>
    <xdr:grpSp>
      <xdr:nvGrpSpPr>
        <xdr:cNvPr id="26" name="Group 25">
          <a:extLst>
            <a:ext uri="{FF2B5EF4-FFF2-40B4-BE49-F238E27FC236}">
              <a16:creationId xmlns:a16="http://schemas.microsoft.com/office/drawing/2014/main" id="{00000000-0008-0000-0300-00001A000000}"/>
            </a:ext>
          </a:extLst>
        </xdr:cNvPr>
        <xdr:cNvGrpSpPr/>
      </xdr:nvGrpSpPr>
      <xdr:grpSpPr>
        <a:xfrm>
          <a:off x="2228339" y="1065648"/>
          <a:ext cx="1841500" cy="949821"/>
          <a:chOff x="2034540" y="1181100"/>
          <a:chExt cx="2377440" cy="1371600"/>
        </a:xfrm>
        <a:effectLst/>
      </xdr:grpSpPr>
      <xdr:sp macro="" textlink="">
        <xdr:nvSpPr>
          <xdr:cNvPr id="27" name="Rectangle: Rounded Corners 26">
            <a:extLst>
              <a:ext uri="{FF2B5EF4-FFF2-40B4-BE49-F238E27FC236}">
                <a16:creationId xmlns:a16="http://schemas.microsoft.com/office/drawing/2014/main" id="{00000000-0008-0000-0300-00001B000000}"/>
              </a:ext>
            </a:extLst>
          </xdr:cNvPr>
          <xdr:cNvSpPr/>
        </xdr:nvSpPr>
        <xdr:spPr>
          <a:xfrm>
            <a:off x="2034540" y="1181100"/>
            <a:ext cx="2377440" cy="1371600"/>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8" name="Rectangle: Rounded Corners 27">
            <a:extLst>
              <a:ext uri="{FF2B5EF4-FFF2-40B4-BE49-F238E27FC236}">
                <a16:creationId xmlns:a16="http://schemas.microsoft.com/office/drawing/2014/main" id="{00000000-0008-0000-0300-00001C000000}"/>
              </a:ext>
            </a:extLst>
          </xdr:cNvPr>
          <xdr:cNvSpPr/>
        </xdr:nvSpPr>
        <xdr:spPr>
          <a:xfrm>
            <a:off x="2034540" y="1181100"/>
            <a:ext cx="2377440" cy="1371600"/>
          </a:xfrm>
          <a:prstGeom prst="roundRect">
            <a:avLst>
              <a:gd name="adj" fmla="val 9880"/>
            </a:avLst>
          </a:prstGeom>
          <a:gradFill flip="none" rotWithShape="1">
            <a:gsLst>
              <a:gs pos="100000">
                <a:srgbClr val="1F1F98">
                  <a:alpha val="0"/>
                </a:srgbClr>
              </a:gs>
              <a:gs pos="5000">
                <a:srgbClr val="CC00CC"/>
              </a:gs>
            </a:gsLst>
            <a:lin ang="2700000" scaled="1"/>
            <a:tileRect/>
          </a:gradFill>
          <a:ln w="9525">
            <a:gradFill flip="none" rotWithShape="1">
              <a:gsLst>
                <a:gs pos="12000">
                  <a:srgbClr val="F6A6FC"/>
                </a:gs>
                <a:gs pos="68000">
                  <a:srgbClr val="7CF2FD"/>
                </a:gs>
                <a:gs pos="87000">
                  <a:srgbClr val="4F33DD"/>
                </a:gs>
              </a:gsLst>
              <a:lin ang="18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bg1"/>
              </a:solidFill>
            </a:endParaRPr>
          </a:p>
        </xdr:txBody>
      </xdr:sp>
    </xdr:grpSp>
    <xdr:clientData/>
  </xdr:twoCellAnchor>
  <xdr:twoCellAnchor>
    <xdr:from>
      <xdr:col>3</xdr:col>
      <xdr:colOff>480641</xdr:colOff>
      <xdr:row>5</xdr:row>
      <xdr:rowOff>159138</xdr:rowOff>
    </xdr:from>
    <xdr:to>
      <xdr:col>6</xdr:col>
      <xdr:colOff>293037</xdr:colOff>
      <xdr:row>8</xdr:row>
      <xdr:rowOff>19739</xdr:rowOff>
    </xdr:to>
    <xdr:sp macro="" textlink="Processing!C1">
      <xdr:nvSpPr>
        <xdr:cNvPr id="29" name="TextBox 28">
          <a:extLst>
            <a:ext uri="{FF2B5EF4-FFF2-40B4-BE49-F238E27FC236}">
              <a16:creationId xmlns:a16="http://schemas.microsoft.com/office/drawing/2014/main" id="{00000000-0008-0000-0300-00001D000000}"/>
            </a:ext>
          </a:extLst>
        </xdr:cNvPr>
        <xdr:cNvSpPr txBox="1"/>
      </xdr:nvSpPr>
      <xdr:spPr>
        <a:xfrm>
          <a:off x="2309441" y="1073538"/>
          <a:ext cx="1641196" cy="40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86606CF-378D-4D9D-BFB9-C0C1F9BA01DA}" type="TxLink">
            <a:rPr lang="en-US" sz="1800" b="0" i="0" u="none" strike="noStrike">
              <a:solidFill>
                <a:schemeClr val="bg1"/>
              </a:solidFill>
              <a:latin typeface="Aptos Narrow"/>
              <a:ea typeface="+mn-ea"/>
              <a:cs typeface="+mn-cs"/>
            </a:rPr>
            <a:pPr marL="0" indent="0" algn="ctr"/>
            <a:t>Total Expenses</a:t>
          </a:fld>
          <a:endParaRPr lang="ru-RU" sz="1800" b="0" i="0" u="none" strike="noStrike">
            <a:solidFill>
              <a:schemeClr val="bg1"/>
            </a:solidFill>
            <a:latin typeface="Aptos Narrow"/>
            <a:ea typeface="+mn-ea"/>
            <a:cs typeface="+mn-cs"/>
          </a:endParaRPr>
        </a:p>
      </xdr:txBody>
    </xdr:sp>
    <xdr:clientData/>
  </xdr:twoCellAnchor>
  <xdr:twoCellAnchor>
    <xdr:from>
      <xdr:col>3</xdr:col>
      <xdr:colOff>361425</xdr:colOff>
      <xdr:row>7</xdr:row>
      <xdr:rowOff>36421</xdr:rowOff>
    </xdr:from>
    <xdr:to>
      <xdr:col>6</xdr:col>
      <xdr:colOff>581893</xdr:colOff>
      <xdr:row>9</xdr:row>
      <xdr:rowOff>77132</xdr:rowOff>
    </xdr:to>
    <xdr:sp macro="" textlink="Processing!C2">
      <xdr:nvSpPr>
        <xdr:cNvPr id="30" name="TextBox 29">
          <a:extLst>
            <a:ext uri="{FF2B5EF4-FFF2-40B4-BE49-F238E27FC236}">
              <a16:creationId xmlns:a16="http://schemas.microsoft.com/office/drawing/2014/main" id="{00000000-0008-0000-0300-00001E000000}"/>
            </a:ext>
          </a:extLst>
        </xdr:cNvPr>
        <xdr:cNvSpPr txBox="1"/>
      </xdr:nvSpPr>
      <xdr:spPr>
        <a:xfrm>
          <a:off x="2190225" y="1316581"/>
          <a:ext cx="2049268" cy="40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C64424C-B367-48C3-B7DF-61FB0BEA7A34}" type="TxLink">
            <a:rPr lang="en-US" sz="2800" b="0" i="0" u="none" strike="noStrike">
              <a:solidFill>
                <a:schemeClr val="bg1"/>
              </a:solidFill>
              <a:latin typeface="Aptos Narrow"/>
              <a:ea typeface="+mn-ea"/>
              <a:cs typeface="+mn-cs"/>
            </a:rPr>
            <a:pPr marL="0" indent="0" algn="l"/>
            <a:t>$ 257 497 </a:t>
          </a:fld>
          <a:endParaRPr lang="ru-RU" sz="2800" b="0" i="0" u="none" strike="noStrike">
            <a:solidFill>
              <a:schemeClr val="bg1"/>
            </a:solidFill>
            <a:latin typeface="Aptos Narrow"/>
            <a:ea typeface="+mn-ea"/>
            <a:cs typeface="+mn-cs"/>
          </a:endParaRPr>
        </a:p>
      </xdr:txBody>
    </xdr:sp>
    <xdr:clientData/>
  </xdr:twoCellAnchor>
  <xdr:twoCellAnchor>
    <xdr:from>
      <xdr:col>6</xdr:col>
      <xdr:colOff>583606</xdr:colOff>
      <xdr:row>5</xdr:row>
      <xdr:rowOff>166065</xdr:rowOff>
    </xdr:from>
    <xdr:to>
      <xdr:col>9</xdr:col>
      <xdr:colOff>583606</xdr:colOff>
      <xdr:row>11</xdr:row>
      <xdr:rowOff>36386</xdr:rowOff>
    </xdr:to>
    <xdr:grpSp>
      <xdr:nvGrpSpPr>
        <xdr:cNvPr id="31" name="Group 30">
          <a:extLst>
            <a:ext uri="{FF2B5EF4-FFF2-40B4-BE49-F238E27FC236}">
              <a16:creationId xmlns:a16="http://schemas.microsoft.com/office/drawing/2014/main" id="{00000000-0008-0000-0300-00001F000000}"/>
            </a:ext>
          </a:extLst>
        </xdr:cNvPr>
        <xdr:cNvGrpSpPr/>
      </xdr:nvGrpSpPr>
      <xdr:grpSpPr>
        <a:xfrm>
          <a:off x="4266606" y="1065648"/>
          <a:ext cx="1841500" cy="949821"/>
          <a:chOff x="5141975" y="3121152"/>
          <a:chExt cx="1908049" cy="1347217"/>
        </a:xfrm>
        <a:effectLst/>
      </xdr:grpSpPr>
      <xdr:sp macro="" textlink="">
        <xdr:nvSpPr>
          <xdr:cNvPr id="32" name="Rectangle: Rounded Corners 31">
            <a:extLst>
              <a:ext uri="{FF2B5EF4-FFF2-40B4-BE49-F238E27FC236}">
                <a16:creationId xmlns:a16="http://schemas.microsoft.com/office/drawing/2014/main" id="{00000000-0008-0000-0300-000020000000}"/>
              </a:ext>
            </a:extLst>
          </xdr:cNvPr>
          <xdr:cNvSpPr/>
        </xdr:nvSpPr>
        <xdr:spPr>
          <a:xfrm>
            <a:off x="5141975" y="3121153"/>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3" name="Rectangle: Rounded Corners 32">
            <a:extLst>
              <a:ext uri="{FF2B5EF4-FFF2-40B4-BE49-F238E27FC236}">
                <a16:creationId xmlns:a16="http://schemas.microsoft.com/office/drawing/2014/main" id="{00000000-0008-0000-0300-000021000000}"/>
              </a:ext>
            </a:extLst>
          </xdr:cNvPr>
          <xdr:cNvSpPr/>
        </xdr:nvSpPr>
        <xdr:spPr>
          <a:xfrm>
            <a:off x="5141976" y="3121152"/>
            <a:ext cx="1908048" cy="1347216"/>
          </a:xfrm>
          <a:prstGeom prst="roundRect">
            <a:avLst>
              <a:gd name="adj" fmla="val 9880"/>
            </a:avLst>
          </a:prstGeom>
          <a:gradFill flip="none" rotWithShape="1">
            <a:gsLst>
              <a:gs pos="100000">
                <a:srgbClr val="1F1F98">
                  <a:alpha val="0"/>
                </a:srgbClr>
              </a:gs>
              <a:gs pos="5000">
                <a:srgbClr val="0000FF"/>
              </a:gs>
            </a:gsLst>
            <a:lin ang="2700000" scaled="1"/>
            <a:tileRect/>
          </a:gradFill>
          <a:ln w="9525">
            <a:gradFill flip="none" rotWithShape="1">
              <a:gsLst>
                <a:gs pos="21000">
                  <a:srgbClr val="9DFFFF"/>
                </a:gs>
                <a:gs pos="81000">
                  <a:srgbClr val="CC00FF"/>
                </a:gs>
              </a:gsLst>
              <a:lin ang="27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7</xdr:col>
      <xdr:colOff>94722</xdr:colOff>
      <xdr:row>5</xdr:row>
      <xdr:rowOff>159138</xdr:rowOff>
    </xdr:from>
    <xdr:to>
      <xdr:col>9</xdr:col>
      <xdr:colOff>462890</xdr:colOff>
      <xdr:row>8</xdr:row>
      <xdr:rowOff>19739</xdr:rowOff>
    </xdr:to>
    <xdr:sp macro="" textlink="Processing!D1">
      <xdr:nvSpPr>
        <xdr:cNvPr id="34" name="TextBox 33">
          <a:extLst>
            <a:ext uri="{FF2B5EF4-FFF2-40B4-BE49-F238E27FC236}">
              <a16:creationId xmlns:a16="http://schemas.microsoft.com/office/drawing/2014/main" id="{00000000-0008-0000-0300-000022000000}"/>
            </a:ext>
          </a:extLst>
        </xdr:cNvPr>
        <xdr:cNvSpPr txBox="1"/>
      </xdr:nvSpPr>
      <xdr:spPr>
        <a:xfrm>
          <a:off x="4361922" y="1073538"/>
          <a:ext cx="1587368" cy="40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1FA2558-1B02-4257-8991-E6DB19BF7136}" type="TxLink">
            <a:rPr lang="en-US" sz="1800" b="0" i="0" u="none" strike="noStrike">
              <a:solidFill>
                <a:schemeClr val="bg1"/>
              </a:solidFill>
              <a:latin typeface="Aptos Narrow"/>
              <a:ea typeface="+mn-ea"/>
              <a:cs typeface="+mn-cs"/>
            </a:rPr>
            <a:pPr marL="0" indent="0" algn="ctr"/>
            <a:t>Total Quantity</a:t>
          </a:fld>
          <a:endParaRPr lang="ru-RU" sz="1800" b="0" i="0" u="none" strike="noStrike">
            <a:solidFill>
              <a:schemeClr val="bg1"/>
            </a:solidFill>
            <a:latin typeface="Aptos Narrow"/>
            <a:ea typeface="+mn-ea"/>
            <a:cs typeface="+mn-cs"/>
          </a:endParaRPr>
        </a:p>
      </xdr:txBody>
    </xdr:sp>
    <xdr:clientData/>
  </xdr:twoCellAnchor>
  <xdr:twoCellAnchor>
    <xdr:from>
      <xdr:col>6</xdr:col>
      <xdr:colOff>505293</xdr:colOff>
      <xdr:row>7</xdr:row>
      <xdr:rowOff>36421</xdr:rowOff>
    </xdr:from>
    <xdr:to>
      <xdr:col>10</xdr:col>
      <xdr:colOff>48490</xdr:colOff>
      <xdr:row>9</xdr:row>
      <xdr:rowOff>77132</xdr:rowOff>
    </xdr:to>
    <xdr:sp macro="" textlink="Processing!D2">
      <xdr:nvSpPr>
        <xdr:cNvPr id="35" name="TextBox 34">
          <a:extLst>
            <a:ext uri="{FF2B5EF4-FFF2-40B4-BE49-F238E27FC236}">
              <a16:creationId xmlns:a16="http://schemas.microsoft.com/office/drawing/2014/main" id="{00000000-0008-0000-0300-000023000000}"/>
            </a:ext>
          </a:extLst>
        </xdr:cNvPr>
        <xdr:cNvSpPr txBox="1"/>
      </xdr:nvSpPr>
      <xdr:spPr>
        <a:xfrm>
          <a:off x="4162893" y="1316581"/>
          <a:ext cx="1981597" cy="40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A51E906-66FC-4154-84BB-1A010B681F9C}" type="TxLink">
            <a:rPr lang="en-US" sz="2800" b="0" i="0" u="none" strike="noStrike">
              <a:solidFill>
                <a:schemeClr val="bg1"/>
              </a:solidFill>
              <a:latin typeface="Aptos Narrow"/>
              <a:ea typeface="+mn-ea"/>
              <a:cs typeface="+mn-cs"/>
            </a:rPr>
            <a:pPr marL="0" indent="0" algn="l"/>
            <a:t> 2 103 </a:t>
          </a:fld>
          <a:endParaRPr lang="ru-RU" sz="2800" b="0" i="0" u="none" strike="noStrike">
            <a:solidFill>
              <a:schemeClr val="bg1"/>
            </a:solidFill>
            <a:latin typeface="Aptos Narrow"/>
            <a:ea typeface="+mn-ea"/>
            <a:cs typeface="+mn-cs"/>
          </a:endParaRPr>
        </a:p>
      </xdr:txBody>
    </xdr:sp>
    <xdr:clientData/>
  </xdr:twoCellAnchor>
  <xdr:twoCellAnchor>
    <xdr:from>
      <xdr:col>10</xdr:col>
      <xdr:colOff>102128</xdr:colOff>
      <xdr:row>5</xdr:row>
      <xdr:rowOff>166065</xdr:rowOff>
    </xdr:from>
    <xdr:to>
      <xdr:col>13</xdr:col>
      <xdr:colOff>102129</xdr:colOff>
      <xdr:row>11</xdr:row>
      <xdr:rowOff>36387</xdr:rowOff>
    </xdr:to>
    <xdr:grpSp>
      <xdr:nvGrpSpPr>
        <xdr:cNvPr id="36" name="Group 35">
          <a:extLst>
            <a:ext uri="{FF2B5EF4-FFF2-40B4-BE49-F238E27FC236}">
              <a16:creationId xmlns:a16="http://schemas.microsoft.com/office/drawing/2014/main" id="{00000000-0008-0000-0300-000024000000}"/>
            </a:ext>
          </a:extLst>
        </xdr:cNvPr>
        <xdr:cNvGrpSpPr/>
      </xdr:nvGrpSpPr>
      <xdr:grpSpPr>
        <a:xfrm>
          <a:off x="6240461" y="1065648"/>
          <a:ext cx="1841501" cy="949822"/>
          <a:chOff x="7162800" y="3121151"/>
          <a:chExt cx="1908049" cy="1347217"/>
        </a:xfrm>
        <a:effectLst/>
      </xdr:grpSpPr>
      <xdr:sp macro="" textlink="">
        <xdr:nvSpPr>
          <xdr:cNvPr id="37" name="Rectangle: Rounded Corners 36">
            <a:extLst>
              <a:ext uri="{FF2B5EF4-FFF2-40B4-BE49-F238E27FC236}">
                <a16:creationId xmlns:a16="http://schemas.microsoft.com/office/drawing/2014/main" id="{00000000-0008-0000-0300-000025000000}"/>
              </a:ext>
            </a:extLst>
          </xdr:cNvPr>
          <xdr:cNvSpPr/>
        </xdr:nvSpPr>
        <xdr:spPr>
          <a:xfrm>
            <a:off x="7162800" y="3121152"/>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Rectangle: Rounded Corners 37">
            <a:extLst>
              <a:ext uri="{FF2B5EF4-FFF2-40B4-BE49-F238E27FC236}">
                <a16:creationId xmlns:a16="http://schemas.microsoft.com/office/drawing/2014/main" id="{00000000-0008-0000-0300-000026000000}"/>
              </a:ext>
            </a:extLst>
          </xdr:cNvPr>
          <xdr:cNvSpPr/>
        </xdr:nvSpPr>
        <xdr:spPr>
          <a:xfrm>
            <a:off x="7162801" y="3121151"/>
            <a:ext cx="1908048" cy="1347216"/>
          </a:xfrm>
          <a:prstGeom prst="roundRect">
            <a:avLst>
              <a:gd name="adj" fmla="val 9880"/>
            </a:avLst>
          </a:prstGeom>
          <a:gradFill flip="none" rotWithShape="1">
            <a:gsLst>
              <a:gs pos="100000">
                <a:srgbClr val="1F1F98">
                  <a:alpha val="0"/>
                </a:srgbClr>
              </a:gs>
              <a:gs pos="8000">
                <a:srgbClr val="9933FF"/>
              </a:gs>
            </a:gsLst>
            <a:lin ang="2700000" scaled="1"/>
            <a:tileRect/>
          </a:gradFill>
          <a:ln w="9525">
            <a:gradFill flip="none" rotWithShape="1">
              <a:gsLst>
                <a:gs pos="14000">
                  <a:srgbClr val="E39CFF"/>
                </a:gs>
                <a:gs pos="39000">
                  <a:srgbClr val="6AF8FF"/>
                </a:gs>
                <a:gs pos="87000">
                  <a:srgbClr val="CC00FF"/>
                </a:gs>
              </a:gsLst>
              <a:lin ang="42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10</xdr:col>
      <xdr:colOff>270530</xdr:colOff>
      <xdr:row>5</xdr:row>
      <xdr:rowOff>159138</xdr:rowOff>
    </xdr:from>
    <xdr:to>
      <xdr:col>12</xdr:col>
      <xdr:colOff>543326</xdr:colOff>
      <xdr:row>8</xdr:row>
      <xdr:rowOff>19739</xdr:rowOff>
    </xdr:to>
    <xdr:sp macro="" textlink="Processing!E1">
      <xdr:nvSpPr>
        <xdr:cNvPr id="39" name="TextBox 38">
          <a:extLst>
            <a:ext uri="{FF2B5EF4-FFF2-40B4-BE49-F238E27FC236}">
              <a16:creationId xmlns:a16="http://schemas.microsoft.com/office/drawing/2014/main" id="{00000000-0008-0000-0300-000027000000}"/>
            </a:ext>
          </a:extLst>
        </xdr:cNvPr>
        <xdr:cNvSpPr txBox="1"/>
      </xdr:nvSpPr>
      <xdr:spPr>
        <a:xfrm>
          <a:off x="6366530" y="1073538"/>
          <a:ext cx="1491996" cy="40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36EA7CB-B5E5-4572-A8F5-06AC1B092E92}" type="TxLink">
            <a:rPr lang="en-US" sz="1800" b="0" i="0" u="none" strike="noStrike">
              <a:solidFill>
                <a:schemeClr val="bg1"/>
              </a:solidFill>
              <a:latin typeface="Aptos Narrow"/>
              <a:ea typeface="+mn-ea"/>
              <a:cs typeface="+mn-cs"/>
            </a:rPr>
            <a:pPr marL="0" indent="0" algn="ctr"/>
            <a:t>Total Profit</a:t>
          </a:fld>
          <a:endParaRPr lang="ru-RU" sz="1800" b="0" i="0" u="none" strike="noStrike">
            <a:solidFill>
              <a:schemeClr val="bg1"/>
            </a:solidFill>
            <a:latin typeface="Aptos Narrow"/>
            <a:ea typeface="+mn-ea"/>
            <a:cs typeface="+mn-cs"/>
          </a:endParaRPr>
        </a:p>
      </xdr:txBody>
    </xdr:sp>
    <xdr:clientData/>
  </xdr:twoCellAnchor>
  <xdr:twoCellAnchor>
    <xdr:from>
      <xdr:col>10</xdr:col>
      <xdr:colOff>72096</xdr:colOff>
      <xdr:row>7</xdr:row>
      <xdr:rowOff>36421</xdr:rowOff>
    </xdr:from>
    <xdr:to>
      <xdr:col>13</xdr:col>
      <xdr:colOff>229144</xdr:colOff>
      <xdr:row>9</xdr:row>
      <xdr:rowOff>77132</xdr:rowOff>
    </xdr:to>
    <xdr:sp macro="" textlink="Processing!E2">
      <xdr:nvSpPr>
        <xdr:cNvPr id="40" name="TextBox 39">
          <a:extLst>
            <a:ext uri="{FF2B5EF4-FFF2-40B4-BE49-F238E27FC236}">
              <a16:creationId xmlns:a16="http://schemas.microsoft.com/office/drawing/2014/main" id="{00000000-0008-0000-0300-000028000000}"/>
            </a:ext>
          </a:extLst>
        </xdr:cNvPr>
        <xdr:cNvSpPr txBox="1"/>
      </xdr:nvSpPr>
      <xdr:spPr>
        <a:xfrm>
          <a:off x="6168096" y="1316581"/>
          <a:ext cx="1985848" cy="40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39CCF77-31D4-434F-8B2A-4A017D7E2035}" type="TxLink">
            <a:rPr lang="en-US" sz="2800" b="0" i="0" u="none" strike="noStrike">
              <a:solidFill>
                <a:schemeClr val="bg1"/>
              </a:solidFill>
              <a:latin typeface="Aptos Narrow"/>
              <a:ea typeface="+mn-ea"/>
              <a:cs typeface="+mn-cs"/>
            </a:rPr>
            <a:pPr marL="0" indent="0" algn="l"/>
            <a:t>$ 144 168 </a:t>
          </a:fld>
          <a:endParaRPr lang="ru-RU" sz="2800" b="0" i="0" u="none" strike="noStrike">
            <a:solidFill>
              <a:schemeClr val="bg1"/>
            </a:solidFill>
            <a:latin typeface="Aptos Narrow"/>
            <a:ea typeface="+mn-ea"/>
            <a:cs typeface="+mn-cs"/>
          </a:endParaRPr>
        </a:p>
      </xdr:txBody>
    </xdr:sp>
    <xdr:clientData/>
  </xdr:twoCellAnchor>
  <xdr:twoCellAnchor>
    <xdr:from>
      <xdr:col>13</xdr:col>
      <xdr:colOff>243128</xdr:colOff>
      <xdr:row>5</xdr:row>
      <xdr:rowOff>166065</xdr:rowOff>
    </xdr:from>
    <xdr:to>
      <xdr:col>16</xdr:col>
      <xdr:colOff>243128</xdr:colOff>
      <xdr:row>11</xdr:row>
      <xdr:rowOff>36386</xdr:rowOff>
    </xdr:to>
    <xdr:grpSp>
      <xdr:nvGrpSpPr>
        <xdr:cNvPr id="41" name="Group 40">
          <a:extLst>
            <a:ext uri="{FF2B5EF4-FFF2-40B4-BE49-F238E27FC236}">
              <a16:creationId xmlns:a16="http://schemas.microsoft.com/office/drawing/2014/main" id="{00000000-0008-0000-0300-000029000000}"/>
            </a:ext>
          </a:extLst>
        </xdr:cNvPr>
        <xdr:cNvGrpSpPr/>
      </xdr:nvGrpSpPr>
      <xdr:grpSpPr>
        <a:xfrm>
          <a:off x="8222961" y="1065648"/>
          <a:ext cx="1841500" cy="949821"/>
          <a:chOff x="5852072" y="2816245"/>
          <a:chExt cx="1828800" cy="950976"/>
        </a:xfrm>
      </xdr:grpSpPr>
      <xdr:sp macro="" textlink="">
        <xdr:nvSpPr>
          <xdr:cNvPr id="42" name="Rectangle: Rounded Corners 41">
            <a:extLst>
              <a:ext uri="{FF2B5EF4-FFF2-40B4-BE49-F238E27FC236}">
                <a16:creationId xmlns:a16="http://schemas.microsoft.com/office/drawing/2014/main" id="{00000000-0008-0000-0300-00002A000000}"/>
              </a:ext>
            </a:extLst>
          </xdr:cNvPr>
          <xdr:cNvSpPr/>
        </xdr:nvSpPr>
        <xdr:spPr>
          <a:xfrm>
            <a:off x="5852072" y="2818529"/>
            <a:ext cx="1828800" cy="946408"/>
          </a:xfrm>
          <a:prstGeom prst="roundRect">
            <a:avLst>
              <a:gd name="adj" fmla="val 10843"/>
            </a:avLst>
          </a:prstGeom>
          <a:gradFill>
            <a:gsLst>
              <a:gs pos="100000">
                <a:srgbClr val="2A1956"/>
              </a:gs>
              <a:gs pos="0">
                <a:srgbClr val="4A278F"/>
              </a:gs>
            </a:gsLst>
            <a:path path="circle">
              <a:fillToRect r="100000" b="100000"/>
            </a:path>
          </a:gradFill>
          <a:ln w="9525">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sz="1200">
              <a:solidFill>
                <a:schemeClr val="bg1"/>
              </a:solidFill>
              <a:latin typeface="Aptos Narrow"/>
            </a:endParaRPr>
          </a:p>
        </xdr:txBody>
      </xdr:sp>
      <xdr:sp macro="" textlink="">
        <xdr:nvSpPr>
          <xdr:cNvPr id="43" name="Rectangle: Rounded Corners 42">
            <a:extLst>
              <a:ext uri="{FF2B5EF4-FFF2-40B4-BE49-F238E27FC236}">
                <a16:creationId xmlns:a16="http://schemas.microsoft.com/office/drawing/2014/main" id="{00000000-0008-0000-0300-00002B000000}"/>
              </a:ext>
            </a:extLst>
          </xdr:cNvPr>
          <xdr:cNvSpPr/>
        </xdr:nvSpPr>
        <xdr:spPr>
          <a:xfrm>
            <a:off x="5852072" y="2816245"/>
            <a:ext cx="1828800" cy="950976"/>
          </a:xfrm>
          <a:prstGeom prst="roundRect">
            <a:avLst>
              <a:gd name="adj" fmla="val 9880"/>
            </a:avLst>
          </a:prstGeom>
          <a:gradFill flip="none" rotWithShape="1">
            <a:gsLst>
              <a:gs pos="50000">
                <a:srgbClr val="1F1F98">
                  <a:alpha val="0"/>
                </a:srgbClr>
              </a:gs>
              <a:gs pos="8000">
                <a:srgbClr val="9933FF"/>
              </a:gs>
            </a:gsLst>
            <a:lin ang="2700000" scaled="1"/>
            <a:tileRect/>
          </a:gradFill>
          <a:ln w="9525">
            <a:gradFill flip="none" rotWithShape="1">
              <a:gsLst>
                <a:gs pos="14000">
                  <a:srgbClr val="E39CFF"/>
                </a:gs>
                <a:gs pos="39000">
                  <a:srgbClr val="6AF8FF"/>
                </a:gs>
                <a:gs pos="87000">
                  <a:srgbClr val="CC00FF"/>
                </a:gs>
              </a:gsLst>
              <a:lin ang="42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13</xdr:col>
      <xdr:colOff>340847</xdr:colOff>
      <xdr:row>5</xdr:row>
      <xdr:rowOff>159138</xdr:rowOff>
    </xdr:from>
    <xdr:to>
      <xdr:col>16</xdr:col>
      <xdr:colOff>145409</xdr:colOff>
      <xdr:row>8</xdr:row>
      <xdr:rowOff>19739</xdr:rowOff>
    </xdr:to>
    <xdr:sp macro="" textlink="Processing!F1">
      <xdr:nvSpPr>
        <xdr:cNvPr id="44" name="TextBox 43">
          <a:extLst>
            <a:ext uri="{FF2B5EF4-FFF2-40B4-BE49-F238E27FC236}">
              <a16:creationId xmlns:a16="http://schemas.microsoft.com/office/drawing/2014/main" id="{00000000-0008-0000-0300-00002C000000}"/>
            </a:ext>
          </a:extLst>
        </xdr:cNvPr>
        <xdr:cNvSpPr txBox="1"/>
      </xdr:nvSpPr>
      <xdr:spPr>
        <a:xfrm>
          <a:off x="8265647" y="1073538"/>
          <a:ext cx="1633362" cy="40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BCE1857-0D68-48BB-B991-23A6EC8927AB}" type="TxLink">
            <a:rPr lang="en-US" sz="1800" b="0" i="0" u="none" strike="noStrike">
              <a:solidFill>
                <a:schemeClr val="bg1"/>
              </a:solidFill>
              <a:latin typeface="Aptos Narrow"/>
              <a:ea typeface="+mn-ea"/>
              <a:cs typeface="+mn-cs"/>
            </a:rPr>
            <a:pPr marL="0" indent="0" algn="ctr"/>
            <a:t>Avg Order Value</a:t>
          </a:fld>
          <a:endParaRPr lang="ru-RU" sz="1800" b="0" i="0" u="none" strike="noStrike">
            <a:solidFill>
              <a:schemeClr val="bg1"/>
            </a:solidFill>
            <a:latin typeface="Aptos Narrow"/>
            <a:ea typeface="+mn-ea"/>
            <a:cs typeface="+mn-cs"/>
          </a:endParaRPr>
        </a:p>
      </xdr:txBody>
    </xdr:sp>
    <xdr:clientData/>
  </xdr:twoCellAnchor>
  <xdr:twoCellAnchor>
    <xdr:from>
      <xdr:col>13</xdr:col>
      <xdr:colOff>216831</xdr:colOff>
      <xdr:row>7</xdr:row>
      <xdr:rowOff>36421</xdr:rowOff>
    </xdr:from>
    <xdr:to>
      <xdr:col>16</xdr:col>
      <xdr:colOff>241718</xdr:colOff>
      <xdr:row>9</xdr:row>
      <xdr:rowOff>166254</xdr:rowOff>
    </xdr:to>
    <xdr:sp macro="" textlink="Processing!F2">
      <xdr:nvSpPr>
        <xdr:cNvPr id="45" name="TextBox 44">
          <a:extLst>
            <a:ext uri="{FF2B5EF4-FFF2-40B4-BE49-F238E27FC236}">
              <a16:creationId xmlns:a16="http://schemas.microsoft.com/office/drawing/2014/main" id="{00000000-0008-0000-0300-00002D000000}"/>
            </a:ext>
          </a:extLst>
        </xdr:cNvPr>
        <xdr:cNvSpPr txBox="1"/>
      </xdr:nvSpPr>
      <xdr:spPr>
        <a:xfrm>
          <a:off x="8141631" y="1316581"/>
          <a:ext cx="1853687" cy="495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0A457EB-BAAF-406E-8EAA-AA07EC0B9676}" type="TxLink">
            <a:rPr lang="en-US" sz="2800" b="0" i="0" u="none" strike="noStrike">
              <a:solidFill>
                <a:schemeClr val="bg1"/>
              </a:solidFill>
              <a:latin typeface="Aptos Narrow"/>
              <a:ea typeface="+mn-ea"/>
              <a:cs typeface="+mn-cs"/>
            </a:rPr>
            <a:pPr marL="0" indent="0" algn="ctr"/>
            <a:t> 803 </a:t>
          </a:fld>
          <a:endParaRPr lang="ru-RU" sz="2800" b="0" i="0" u="none" strike="noStrike">
            <a:solidFill>
              <a:schemeClr val="bg1"/>
            </a:solidFill>
            <a:latin typeface="Aptos Narrow"/>
            <a:ea typeface="+mn-ea"/>
            <a:cs typeface="+mn-cs"/>
          </a:endParaRPr>
        </a:p>
      </xdr:txBody>
    </xdr:sp>
    <xdr:clientData/>
  </xdr:twoCellAnchor>
  <xdr:twoCellAnchor>
    <xdr:from>
      <xdr:col>0</xdr:col>
      <xdr:colOff>249382</xdr:colOff>
      <xdr:row>9</xdr:row>
      <xdr:rowOff>131617</xdr:rowOff>
    </xdr:from>
    <xdr:to>
      <xdr:col>1</xdr:col>
      <xdr:colOff>512619</xdr:colOff>
      <xdr:row>11</xdr:row>
      <xdr:rowOff>27708</xdr:rowOff>
    </xdr:to>
    <xdr:sp macro="" textlink="">
      <xdr:nvSpPr>
        <xdr:cNvPr id="46" name="TextBox 45">
          <a:extLst>
            <a:ext uri="{FF2B5EF4-FFF2-40B4-BE49-F238E27FC236}">
              <a16:creationId xmlns:a16="http://schemas.microsoft.com/office/drawing/2014/main" id="{00000000-0008-0000-0300-00002E000000}"/>
            </a:ext>
          </a:extLst>
        </xdr:cNvPr>
        <xdr:cNvSpPr txBox="1"/>
      </xdr:nvSpPr>
      <xdr:spPr>
        <a:xfrm>
          <a:off x="249382"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2</xdr:col>
      <xdr:colOff>193964</xdr:colOff>
      <xdr:row>9</xdr:row>
      <xdr:rowOff>131618</xdr:rowOff>
    </xdr:from>
    <xdr:to>
      <xdr:col>3</xdr:col>
      <xdr:colOff>207818</xdr:colOff>
      <xdr:row>11</xdr:row>
      <xdr:rowOff>6927</xdr:rowOff>
    </xdr:to>
    <xdr:sp macro="" textlink="">
      <xdr:nvSpPr>
        <xdr:cNvPr id="47" name="Rectangle: Rounded Corners 46">
          <a:extLst>
            <a:ext uri="{FF2B5EF4-FFF2-40B4-BE49-F238E27FC236}">
              <a16:creationId xmlns:a16="http://schemas.microsoft.com/office/drawing/2014/main" id="{00000000-0008-0000-0300-00002F000000}"/>
            </a:ext>
          </a:extLst>
        </xdr:cNvPr>
        <xdr:cNvSpPr/>
      </xdr:nvSpPr>
      <xdr:spPr>
        <a:xfrm>
          <a:off x="1413164" y="1777538"/>
          <a:ext cx="623454" cy="241069"/>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353291</xdr:colOff>
      <xdr:row>9</xdr:row>
      <xdr:rowOff>131617</xdr:rowOff>
    </xdr:from>
    <xdr:to>
      <xdr:col>5</xdr:col>
      <xdr:colOff>6928</xdr:colOff>
      <xdr:row>11</xdr:row>
      <xdr:rowOff>27708</xdr:rowOff>
    </xdr:to>
    <xdr:sp macro="" textlink="">
      <xdr:nvSpPr>
        <xdr:cNvPr id="48" name="TextBox 47">
          <a:extLst>
            <a:ext uri="{FF2B5EF4-FFF2-40B4-BE49-F238E27FC236}">
              <a16:creationId xmlns:a16="http://schemas.microsoft.com/office/drawing/2014/main" id="{00000000-0008-0000-0300-000030000000}"/>
            </a:ext>
          </a:extLst>
        </xdr:cNvPr>
        <xdr:cNvSpPr txBox="1"/>
      </xdr:nvSpPr>
      <xdr:spPr>
        <a:xfrm>
          <a:off x="2182091"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5</xdr:col>
      <xdr:colOff>297873</xdr:colOff>
      <xdr:row>9</xdr:row>
      <xdr:rowOff>131618</xdr:rowOff>
    </xdr:from>
    <xdr:to>
      <xdr:col>6</xdr:col>
      <xdr:colOff>311727</xdr:colOff>
      <xdr:row>11</xdr:row>
      <xdr:rowOff>6927</xdr:rowOff>
    </xdr:to>
    <xdr:sp macro="" textlink="">
      <xdr:nvSpPr>
        <xdr:cNvPr id="49" name="Rectangle: Rounded Corners 48">
          <a:extLst>
            <a:ext uri="{FF2B5EF4-FFF2-40B4-BE49-F238E27FC236}">
              <a16:creationId xmlns:a16="http://schemas.microsoft.com/office/drawing/2014/main" id="{00000000-0008-0000-0300-000031000000}"/>
            </a:ext>
          </a:extLst>
        </xdr:cNvPr>
        <xdr:cNvSpPr/>
      </xdr:nvSpPr>
      <xdr:spPr>
        <a:xfrm>
          <a:off x="3345873" y="1777538"/>
          <a:ext cx="623454" cy="241069"/>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574964</xdr:colOff>
      <xdr:row>9</xdr:row>
      <xdr:rowOff>131617</xdr:rowOff>
    </xdr:from>
    <xdr:to>
      <xdr:col>8</xdr:col>
      <xdr:colOff>228601</xdr:colOff>
      <xdr:row>11</xdr:row>
      <xdr:rowOff>27708</xdr:rowOff>
    </xdr:to>
    <xdr:sp macro="" textlink="">
      <xdr:nvSpPr>
        <xdr:cNvPr id="50" name="TextBox 49">
          <a:extLst>
            <a:ext uri="{FF2B5EF4-FFF2-40B4-BE49-F238E27FC236}">
              <a16:creationId xmlns:a16="http://schemas.microsoft.com/office/drawing/2014/main" id="{00000000-0008-0000-0300-000032000000}"/>
            </a:ext>
          </a:extLst>
        </xdr:cNvPr>
        <xdr:cNvSpPr txBox="1"/>
      </xdr:nvSpPr>
      <xdr:spPr>
        <a:xfrm>
          <a:off x="4232564"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8</xdr:col>
      <xdr:colOff>519546</xdr:colOff>
      <xdr:row>9</xdr:row>
      <xdr:rowOff>131618</xdr:rowOff>
    </xdr:from>
    <xdr:to>
      <xdr:col>9</xdr:col>
      <xdr:colOff>533400</xdr:colOff>
      <xdr:row>11</xdr:row>
      <xdr:rowOff>6927</xdr:rowOff>
    </xdr:to>
    <xdr:sp macro="" textlink="">
      <xdr:nvSpPr>
        <xdr:cNvPr id="51" name="Rectangle: Rounded Corners 50">
          <a:extLst>
            <a:ext uri="{FF2B5EF4-FFF2-40B4-BE49-F238E27FC236}">
              <a16:creationId xmlns:a16="http://schemas.microsoft.com/office/drawing/2014/main" id="{00000000-0008-0000-0300-000033000000}"/>
            </a:ext>
          </a:extLst>
        </xdr:cNvPr>
        <xdr:cNvSpPr/>
      </xdr:nvSpPr>
      <xdr:spPr>
        <a:xfrm>
          <a:off x="5396346" y="1777538"/>
          <a:ext cx="623454" cy="241069"/>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96982</xdr:colOff>
      <xdr:row>9</xdr:row>
      <xdr:rowOff>131617</xdr:rowOff>
    </xdr:from>
    <xdr:to>
      <xdr:col>11</xdr:col>
      <xdr:colOff>360219</xdr:colOff>
      <xdr:row>11</xdr:row>
      <xdr:rowOff>27708</xdr:rowOff>
    </xdr:to>
    <xdr:sp macro="" textlink="">
      <xdr:nvSpPr>
        <xdr:cNvPr id="52" name="TextBox 51">
          <a:extLst>
            <a:ext uri="{FF2B5EF4-FFF2-40B4-BE49-F238E27FC236}">
              <a16:creationId xmlns:a16="http://schemas.microsoft.com/office/drawing/2014/main" id="{00000000-0008-0000-0300-000034000000}"/>
            </a:ext>
          </a:extLst>
        </xdr:cNvPr>
        <xdr:cNvSpPr txBox="1"/>
      </xdr:nvSpPr>
      <xdr:spPr>
        <a:xfrm>
          <a:off x="6192982"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12</xdr:col>
      <xdr:colOff>41564</xdr:colOff>
      <xdr:row>9</xdr:row>
      <xdr:rowOff>131618</xdr:rowOff>
    </xdr:from>
    <xdr:to>
      <xdr:col>13</xdr:col>
      <xdr:colOff>55418</xdr:colOff>
      <xdr:row>11</xdr:row>
      <xdr:rowOff>6927</xdr:rowOff>
    </xdr:to>
    <xdr:sp macro="" textlink="">
      <xdr:nvSpPr>
        <xdr:cNvPr id="53" name="Rectangle: Rounded Corners 52">
          <a:extLst>
            <a:ext uri="{FF2B5EF4-FFF2-40B4-BE49-F238E27FC236}">
              <a16:creationId xmlns:a16="http://schemas.microsoft.com/office/drawing/2014/main" id="{00000000-0008-0000-0300-000035000000}"/>
            </a:ext>
          </a:extLst>
        </xdr:cNvPr>
        <xdr:cNvSpPr/>
      </xdr:nvSpPr>
      <xdr:spPr>
        <a:xfrm>
          <a:off x="7356764" y="1777538"/>
          <a:ext cx="623454" cy="241069"/>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48491</xdr:colOff>
      <xdr:row>9</xdr:row>
      <xdr:rowOff>131617</xdr:rowOff>
    </xdr:from>
    <xdr:to>
      <xdr:col>3</xdr:col>
      <xdr:colOff>311728</xdr:colOff>
      <xdr:row>11</xdr:row>
      <xdr:rowOff>27708</xdr:rowOff>
    </xdr:to>
    <xdr:sp macro="" textlink="Processing!B13">
      <xdr:nvSpPr>
        <xdr:cNvPr id="54" name="TextBox 53">
          <a:extLst>
            <a:ext uri="{FF2B5EF4-FFF2-40B4-BE49-F238E27FC236}">
              <a16:creationId xmlns:a16="http://schemas.microsoft.com/office/drawing/2014/main" id="{00000000-0008-0000-0300-000036000000}"/>
            </a:ext>
          </a:extLst>
        </xdr:cNvPr>
        <xdr:cNvSpPr txBox="1"/>
      </xdr:nvSpPr>
      <xdr:spPr>
        <a:xfrm>
          <a:off x="1267691"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421D81-285E-47E9-9BFD-3415CF8E9136}" type="TxLink">
            <a:rPr lang="en-US" sz="1000" b="0" i="0" u="none" strike="noStrike">
              <a:solidFill>
                <a:schemeClr val="bg1"/>
              </a:solidFill>
              <a:latin typeface="Calibri"/>
              <a:cs typeface="Calibri"/>
            </a:rPr>
            <a:pPr algn="ctr"/>
            <a:t>▲ 13,27%</a:t>
          </a:fld>
          <a:endParaRPr lang="en-US" sz="800">
            <a:solidFill>
              <a:schemeClr val="bg1"/>
            </a:solidFill>
          </a:endParaRPr>
        </a:p>
      </xdr:txBody>
    </xdr:sp>
    <xdr:clientData/>
  </xdr:twoCellAnchor>
  <xdr:twoCellAnchor>
    <xdr:from>
      <xdr:col>5</xdr:col>
      <xdr:colOff>180109</xdr:colOff>
      <xdr:row>9</xdr:row>
      <xdr:rowOff>131617</xdr:rowOff>
    </xdr:from>
    <xdr:to>
      <xdr:col>6</xdr:col>
      <xdr:colOff>443346</xdr:colOff>
      <xdr:row>11</xdr:row>
      <xdr:rowOff>27708</xdr:rowOff>
    </xdr:to>
    <xdr:sp macro="" textlink="Processing!C13">
      <xdr:nvSpPr>
        <xdr:cNvPr id="55" name="TextBox 54">
          <a:extLst>
            <a:ext uri="{FF2B5EF4-FFF2-40B4-BE49-F238E27FC236}">
              <a16:creationId xmlns:a16="http://schemas.microsoft.com/office/drawing/2014/main" id="{00000000-0008-0000-0300-000037000000}"/>
            </a:ext>
          </a:extLst>
        </xdr:cNvPr>
        <xdr:cNvSpPr txBox="1"/>
      </xdr:nvSpPr>
      <xdr:spPr>
        <a:xfrm>
          <a:off x="3228109"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BE4D3F-49DE-49FD-9D6A-58DEDF03469B}" type="TxLink">
            <a:rPr lang="en-US" sz="1000" b="0" i="0" u="none" strike="noStrike">
              <a:solidFill>
                <a:schemeClr val="bg1"/>
              </a:solidFill>
              <a:latin typeface="Calibri"/>
              <a:ea typeface="+mn-ea"/>
              <a:cs typeface="Calibri"/>
            </a:rPr>
            <a:pPr marL="0" indent="0" algn="ctr"/>
            <a:t>▲ 15,40%</a:t>
          </a:fld>
          <a:endParaRPr lang="en-US" sz="1000" b="0" i="0" u="none" strike="noStrike">
            <a:solidFill>
              <a:schemeClr val="bg1"/>
            </a:solidFill>
            <a:latin typeface="Calibri"/>
            <a:ea typeface="+mn-ea"/>
            <a:cs typeface="Calibri"/>
          </a:endParaRPr>
        </a:p>
      </xdr:txBody>
    </xdr:sp>
    <xdr:clientData/>
  </xdr:twoCellAnchor>
  <xdr:twoCellAnchor>
    <xdr:from>
      <xdr:col>8</xdr:col>
      <xdr:colOff>387927</xdr:colOff>
      <xdr:row>9</xdr:row>
      <xdr:rowOff>131617</xdr:rowOff>
    </xdr:from>
    <xdr:to>
      <xdr:col>10</xdr:col>
      <xdr:colOff>41564</xdr:colOff>
      <xdr:row>11</xdr:row>
      <xdr:rowOff>27708</xdr:rowOff>
    </xdr:to>
    <xdr:sp macro="" textlink="Processing!D13">
      <xdr:nvSpPr>
        <xdr:cNvPr id="56" name="TextBox 55">
          <a:extLst>
            <a:ext uri="{FF2B5EF4-FFF2-40B4-BE49-F238E27FC236}">
              <a16:creationId xmlns:a16="http://schemas.microsoft.com/office/drawing/2014/main" id="{00000000-0008-0000-0300-000038000000}"/>
            </a:ext>
          </a:extLst>
        </xdr:cNvPr>
        <xdr:cNvSpPr txBox="1"/>
      </xdr:nvSpPr>
      <xdr:spPr>
        <a:xfrm>
          <a:off x="5264727"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9684377-1574-4452-A507-8EC548A19566}" type="TxLink">
            <a:rPr lang="en-US" sz="1000" b="0" i="0" u="none" strike="noStrike">
              <a:solidFill>
                <a:schemeClr val="bg1"/>
              </a:solidFill>
              <a:latin typeface="Calibri"/>
              <a:ea typeface="+mn-ea"/>
              <a:cs typeface="Calibri"/>
            </a:rPr>
            <a:pPr marL="0" indent="0" algn="ctr"/>
            <a:t>▲ 0,10%</a:t>
          </a:fld>
          <a:endParaRPr lang="en-US" sz="1000" b="0" i="0" u="none" strike="noStrike">
            <a:solidFill>
              <a:schemeClr val="bg1"/>
            </a:solidFill>
            <a:latin typeface="Calibri"/>
            <a:ea typeface="+mn-ea"/>
            <a:cs typeface="Calibri"/>
          </a:endParaRPr>
        </a:p>
      </xdr:txBody>
    </xdr:sp>
    <xdr:clientData/>
  </xdr:twoCellAnchor>
  <xdr:twoCellAnchor>
    <xdr:from>
      <xdr:col>11</xdr:col>
      <xdr:colOff>512618</xdr:colOff>
      <xdr:row>9</xdr:row>
      <xdr:rowOff>131617</xdr:rowOff>
    </xdr:from>
    <xdr:to>
      <xdr:col>13</xdr:col>
      <xdr:colOff>166255</xdr:colOff>
      <xdr:row>11</xdr:row>
      <xdr:rowOff>27708</xdr:rowOff>
    </xdr:to>
    <xdr:sp macro="" textlink="Processing!E13">
      <xdr:nvSpPr>
        <xdr:cNvPr id="57" name="TextBox 56">
          <a:extLst>
            <a:ext uri="{FF2B5EF4-FFF2-40B4-BE49-F238E27FC236}">
              <a16:creationId xmlns:a16="http://schemas.microsoft.com/office/drawing/2014/main" id="{00000000-0008-0000-0300-000039000000}"/>
            </a:ext>
          </a:extLst>
        </xdr:cNvPr>
        <xdr:cNvSpPr txBox="1"/>
      </xdr:nvSpPr>
      <xdr:spPr>
        <a:xfrm>
          <a:off x="7218218"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CBD5D7-332B-4B7A-93FA-2787EB84A694}" type="TxLink">
            <a:rPr lang="en-US" sz="1000" b="0" i="0" u="none" strike="noStrike">
              <a:solidFill>
                <a:schemeClr val="bg1"/>
              </a:solidFill>
              <a:latin typeface="Calibri"/>
              <a:ea typeface="+mn-ea"/>
              <a:cs typeface="Calibri"/>
            </a:rPr>
            <a:pPr marL="0" indent="0" algn="ctr"/>
            <a:t>▲ 9,56%</a:t>
          </a:fld>
          <a:endParaRPr lang="en-US" sz="1000" b="0" i="0" u="none" strike="noStrike">
            <a:solidFill>
              <a:schemeClr val="bg1"/>
            </a:solidFill>
            <a:latin typeface="Calibri"/>
            <a:ea typeface="+mn-ea"/>
            <a:cs typeface="Calibri"/>
          </a:endParaRPr>
        </a:p>
      </xdr:txBody>
    </xdr:sp>
    <xdr:clientData/>
  </xdr:twoCellAnchor>
  <xdr:twoCellAnchor>
    <xdr:from>
      <xdr:col>0</xdr:col>
      <xdr:colOff>286625</xdr:colOff>
      <xdr:row>13</xdr:row>
      <xdr:rowOff>146807</xdr:rowOff>
    </xdr:from>
    <xdr:to>
      <xdr:col>8</xdr:col>
      <xdr:colOff>377504</xdr:colOff>
      <xdr:row>24</xdr:row>
      <xdr:rowOff>104863</xdr:rowOff>
    </xdr:to>
    <xdr:graphicFrame macro="">
      <xdr:nvGraphicFramePr>
        <xdr:cNvPr id="58" name="Chart 57">
          <a:extLst>
            <a:ext uri="{FF2B5EF4-FFF2-40B4-BE49-F238E27FC236}">
              <a16:creationId xmlns:a16="http://schemas.microsoft.com/office/drawing/2014/main" id="{00000000-0008-0000-0300-00003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571373</xdr:colOff>
      <xdr:row>12</xdr:row>
      <xdr:rowOff>16631</xdr:rowOff>
    </xdr:from>
    <xdr:to>
      <xdr:col>6</xdr:col>
      <xdr:colOff>97883</xdr:colOff>
      <xdr:row>14</xdr:row>
      <xdr:rowOff>62346</xdr:rowOff>
    </xdr:to>
    <mc:AlternateContent xmlns:mc="http://schemas.openxmlformats.org/markup-compatibility/2006" xmlns:a14="http://schemas.microsoft.com/office/drawing/2010/main">
      <mc:Choice Requires="a14">
        <xdr:graphicFrame macro="">
          <xdr:nvGraphicFramePr>
            <xdr:cNvPr id="60" name="Years (Order_Date) 1">
              <a:extLst>
                <a:ext uri="{FF2B5EF4-FFF2-40B4-BE49-F238E27FC236}">
                  <a16:creationId xmlns:a16="http://schemas.microsoft.com/office/drawing/2014/main" id="{00000000-0008-0000-0300-00003C000000}"/>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mlns="">
        <xdr:sp macro="" textlink="">
          <xdr:nvSpPr>
            <xdr:cNvPr id="0" name=""/>
            <xdr:cNvSpPr>
              <a:spLocks noTextEdit="1"/>
            </xdr:cNvSpPr>
          </xdr:nvSpPr>
          <xdr:spPr>
            <a:xfrm>
              <a:off x="2395979" y="2197769"/>
              <a:ext cx="1351115" cy="409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602673</xdr:colOff>
      <xdr:row>22</xdr:row>
      <xdr:rowOff>148248</xdr:rowOff>
    </xdr:from>
    <xdr:to>
      <xdr:col>8</xdr:col>
      <xdr:colOff>342550</xdr:colOff>
      <xdr:row>24</xdr:row>
      <xdr:rowOff>153790</xdr:rowOff>
    </xdr:to>
    <mc:AlternateContent xmlns:mc="http://schemas.openxmlformats.org/markup-compatibility/2006" xmlns:a14="http://schemas.microsoft.com/office/drawing/2010/main">
      <mc:Choice Requires="a14">
        <xdr:graphicFrame macro="">
          <xdr:nvGraphicFramePr>
            <xdr:cNvPr id="61" name="Months (Order_Date) 1">
              <a:extLst>
                <a:ext uri="{FF2B5EF4-FFF2-40B4-BE49-F238E27FC236}">
                  <a16:creationId xmlns:a16="http://schemas.microsoft.com/office/drawing/2014/main" id="{00000000-0008-0000-0300-00003D000000}"/>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602673" y="4147000"/>
              <a:ext cx="4605492" cy="369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367145</xdr:colOff>
      <xdr:row>12</xdr:row>
      <xdr:rowOff>83126</xdr:rowOff>
    </xdr:from>
    <xdr:to>
      <xdr:col>8</xdr:col>
      <xdr:colOff>34636</xdr:colOff>
      <xdr:row>13</xdr:row>
      <xdr:rowOff>124690</xdr:rowOff>
    </xdr:to>
    <xdr:sp macro="" textlink="">
      <xdr:nvSpPr>
        <xdr:cNvPr id="63" name="Rectangle 62">
          <a:extLst>
            <a:ext uri="{FF2B5EF4-FFF2-40B4-BE49-F238E27FC236}">
              <a16:creationId xmlns:a16="http://schemas.microsoft.com/office/drawing/2014/main" id="{00000000-0008-0000-0300-00003F000000}"/>
            </a:ext>
          </a:extLst>
        </xdr:cNvPr>
        <xdr:cNvSpPr/>
      </xdr:nvSpPr>
      <xdr:spPr>
        <a:xfrm>
          <a:off x="4634345" y="2277686"/>
          <a:ext cx="277091" cy="224444"/>
        </a:xfrm>
        <a:prstGeom prst="rect">
          <a:avLst/>
        </a:prstGeom>
        <a:solidFill>
          <a:srgbClr val="140C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52640</xdr:colOff>
      <xdr:row>19</xdr:row>
      <xdr:rowOff>12920</xdr:rowOff>
    </xdr:from>
    <xdr:to>
      <xdr:col>20</xdr:col>
      <xdr:colOff>412458</xdr:colOff>
      <xdr:row>30</xdr:row>
      <xdr:rowOff>114561</xdr:rowOff>
    </xdr:to>
    <xdr:grpSp>
      <xdr:nvGrpSpPr>
        <xdr:cNvPr id="4221" name="Group 4220">
          <a:extLst>
            <a:ext uri="{FF2B5EF4-FFF2-40B4-BE49-F238E27FC236}">
              <a16:creationId xmlns:a16="http://schemas.microsoft.com/office/drawing/2014/main" id="{00000000-0008-0000-0300-00007D100000}"/>
            </a:ext>
          </a:extLst>
        </xdr:cNvPr>
        <xdr:cNvGrpSpPr/>
      </xdr:nvGrpSpPr>
      <xdr:grpSpPr>
        <a:xfrm>
          <a:off x="10487807" y="3431337"/>
          <a:ext cx="2201318" cy="2080724"/>
          <a:chOff x="10161374" y="3194670"/>
          <a:chExt cx="2488734" cy="2393708"/>
        </a:xfrm>
      </xdr:grpSpPr>
      <xdr:sp macro="" textlink="">
        <xdr:nvSpPr>
          <xdr:cNvPr id="4099" name="Oval 4098">
            <a:extLst>
              <a:ext uri="{FF2B5EF4-FFF2-40B4-BE49-F238E27FC236}">
                <a16:creationId xmlns:a16="http://schemas.microsoft.com/office/drawing/2014/main" id="{00000000-0008-0000-0300-000003100000}"/>
              </a:ext>
            </a:extLst>
          </xdr:cNvPr>
          <xdr:cNvSpPr/>
        </xdr:nvSpPr>
        <xdr:spPr>
          <a:xfrm>
            <a:off x="10609203" y="3585072"/>
            <a:ext cx="1593076" cy="1612904"/>
          </a:xfrm>
          <a:prstGeom prst="ellipse">
            <a:avLst/>
          </a:prstGeom>
          <a:gradFill>
            <a:gsLst>
              <a:gs pos="0">
                <a:srgbClr val="00719C"/>
              </a:gs>
              <a:gs pos="97000">
                <a:srgbClr val="003950"/>
              </a:gs>
            </a:gsLst>
            <a:path path="circle">
              <a:fillToRect r="100000" b="100000"/>
            </a:path>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4220" name="Group 4219">
            <a:extLst>
              <a:ext uri="{FF2B5EF4-FFF2-40B4-BE49-F238E27FC236}">
                <a16:creationId xmlns:a16="http://schemas.microsoft.com/office/drawing/2014/main" id="{00000000-0008-0000-0300-00007C100000}"/>
              </a:ext>
            </a:extLst>
          </xdr:cNvPr>
          <xdr:cNvGrpSpPr/>
        </xdr:nvGrpSpPr>
        <xdr:grpSpPr>
          <a:xfrm>
            <a:off x="10161374" y="3194670"/>
            <a:ext cx="2488734" cy="2393708"/>
            <a:chOff x="13002937" y="3612920"/>
            <a:chExt cx="2488734" cy="2393708"/>
          </a:xfrm>
        </xdr:grpSpPr>
        <xdr:graphicFrame macro="">
          <xdr:nvGraphicFramePr>
            <xdr:cNvPr id="4101" name="Chart 4100">
              <a:extLst>
                <a:ext uri="{FF2B5EF4-FFF2-40B4-BE49-F238E27FC236}">
                  <a16:creationId xmlns:a16="http://schemas.microsoft.com/office/drawing/2014/main" id="{00000000-0008-0000-0300-000005100000}"/>
                </a:ext>
              </a:extLst>
            </xdr:cNvPr>
            <xdr:cNvGraphicFramePr/>
          </xdr:nvGraphicFramePr>
          <xdr:xfrm>
            <a:off x="13195463" y="3745769"/>
            <a:ext cx="2103682" cy="212801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102" name="Chart 4101">
              <a:extLst>
                <a:ext uri="{FF2B5EF4-FFF2-40B4-BE49-F238E27FC236}">
                  <a16:creationId xmlns:a16="http://schemas.microsoft.com/office/drawing/2014/main" id="{00000000-0008-0000-0300-000006100000}"/>
                </a:ext>
              </a:extLst>
            </xdr:cNvPr>
            <xdr:cNvGraphicFramePr/>
          </xdr:nvGraphicFramePr>
          <xdr:xfrm>
            <a:off x="13002937" y="3612920"/>
            <a:ext cx="2488734" cy="2393708"/>
          </xdr:xfrm>
          <a:graphic>
            <a:graphicData uri="http://schemas.openxmlformats.org/drawingml/2006/chart">
              <c:chart xmlns:c="http://schemas.openxmlformats.org/drawingml/2006/chart" xmlns:r="http://schemas.openxmlformats.org/officeDocument/2006/relationships" r:id="rId3"/>
            </a:graphicData>
          </a:graphic>
        </xdr:graphicFrame>
      </xdr:grpSp>
      <xdr:sp macro="" textlink="Processing!B64">
        <xdr:nvSpPr>
          <xdr:cNvPr id="4103" name="Овал 12">
            <a:extLst>
              <a:ext uri="{FF2B5EF4-FFF2-40B4-BE49-F238E27FC236}">
                <a16:creationId xmlns:a16="http://schemas.microsoft.com/office/drawing/2014/main" id="{00000000-0008-0000-0300-000007100000}"/>
              </a:ext>
            </a:extLst>
          </xdr:cNvPr>
          <xdr:cNvSpPr/>
        </xdr:nvSpPr>
        <xdr:spPr>
          <a:xfrm>
            <a:off x="10852379" y="3832079"/>
            <a:ext cx="1106725" cy="1118890"/>
          </a:xfrm>
          <a:prstGeom prst="ellipse">
            <a:avLst/>
          </a:prstGeom>
          <a:gradFill flip="none" rotWithShape="1">
            <a:gsLst>
              <a:gs pos="47000">
                <a:srgbClr val="25313F"/>
              </a:gs>
              <a:gs pos="56000">
                <a:srgbClr val="1C2530"/>
              </a:gs>
              <a:gs pos="100000">
                <a:srgbClr val="262626">
                  <a:alpha val="0"/>
                </a:srgb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0A3A29F-92D9-4057-9E2B-1D5EADD1F0B0}" type="TxLink">
              <a:rPr lang="en-US" sz="1400" b="0" i="0" u="none" strike="noStrike">
                <a:solidFill>
                  <a:schemeClr val="bg1"/>
                </a:solidFill>
                <a:latin typeface="Calibri"/>
                <a:ea typeface="+mn-ea"/>
                <a:cs typeface="Calibri"/>
              </a:rPr>
              <a:pPr marL="0" indent="0" algn="ctr"/>
              <a:t>$402K</a:t>
            </a:fld>
            <a:endParaRPr lang="en-US" sz="1400" b="0" i="0" u="none" strike="noStrike">
              <a:solidFill>
                <a:schemeClr val="bg1"/>
              </a:solidFill>
              <a:latin typeface="Calibri"/>
              <a:ea typeface="+mn-ea"/>
              <a:cs typeface="Calibri"/>
            </a:endParaRPr>
          </a:p>
        </xdr:txBody>
      </xdr:sp>
    </xdr:grpSp>
    <xdr:clientData/>
  </xdr:twoCellAnchor>
  <xdr:twoCellAnchor>
    <xdr:from>
      <xdr:col>16</xdr:col>
      <xdr:colOff>589311</xdr:colOff>
      <xdr:row>29</xdr:row>
      <xdr:rowOff>180236</xdr:rowOff>
    </xdr:from>
    <xdr:to>
      <xdr:col>18</xdr:col>
      <xdr:colOff>381124</xdr:colOff>
      <xdr:row>31</xdr:row>
      <xdr:rowOff>155298</xdr:rowOff>
    </xdr:to>
    <xdr:sp macro="" textlink="Processing!A60">
      <xdr:nvSpPr>
        <xdr:cNvPr id="4104" name="TextBox 4103">
          <a:extLst>
            <a:ext uri="{FF2B5EF4-FFF2-40B4-BE49-F238E27FC236}">
              <a16:creationId xmlns:a16="http://schemas.microsoft.com/office/drawing/2014/main" id="{00000000-0008-0000-0300-000008100000}"/>
            </a:ext>
          </a:extLst>
        </xdr:cNvPr>
        <xdr:cNvSpPr txBox="1"/>
      </xdr:nvSpPr>
      <xdr:spPr>
        <a:xfrm>
          <a:off x="10320540" y="5451319"/>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D27F17-C70F-4B58-A09F-BE93BB1D6B86}" type="TxLink">
            <a:rPr lang="en-US" sz="1000" b="0" i="0" u="none" strike="noStrike">
              <a:solidFill>
                <a:schemeClr val="tx2">
                  <a:lumMod val="60000"/>
                  <a:lumOff val="40000"/>
                </a:schemeClr>
              </a:solidFill>
              <a:latin typeface="Calibri"/>
              <a:ea typeface="+mn-ea"/>
              <a:cs typeface="Calibri"/>
            </a:rPr>
            <a:pPr marL="0" indent="0"/>
            <a:t>Consumer</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16</xdr:col>
      <xdr:colOff>589311</xdr:colOff>
      <xdr:row>31</xdr:row>
      <xdr:rowOff>88893</xdr:rowOff>
    </xdr:from>
    <xdr:to>
      <xdr:col>18</xdr:col>
      <xdr:colOff>381124</xdr:colOff>
      <xdr:row>33</xdr:row>
      <xdr:rowOff>63956</xdr:rowOff>
    </xdr:to>
    <xdr:sp macro="" textlink="Processing!A61">
      <xdr:nvSpPr>
        <xdr:cNvPr id="4105" name="TextBox 4104">
          <a:extLst>
            <a:ext uri="{FF2B5EF4-FFF2-40B4-BE49-F238E27FC236}">
              <a16:creationId xmlns:a16="http://schemas.microsoft.com/office/drawing/2014/main" id="{00000000-0008-0000-0300-000009100000}"/>
            </a:ext>
          </a:extLst>
        </xdr:cNvPr>
        <xdr:cNvSpPr txBox="1"/>
      </xdr:nvSpPr>
      <xdr:spPr>
        <a:xfrm>
          <a:off x="10320540" y="5723499"/>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EA69B69-DDE5-4880-B7F3-B81E938A648E}" type="TxLink">
            <a:rPr lang="en-US" sz="1000" b="0" i="0" u="none" strike="noStrike">
              <a:solidFill>
                <a:schemeClr val="tx2">
                  <a:lumMod val="60000"/>
                  <a:lumOff val="40000"/>
                </a:schemeClr>
              </a:solidFill>
              <a:latin typeface="Calibri"/>
              <a:ea typeface="+mn-ea"/>
              <a:cs typeface="Calibri"/>
            </a:rPr>
            <a:pPr marL="0" indent="0"/>
            <a:t>Corporate</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16</xdr:col>
      <xdr:colOff>589311</xdr:colOff>
      <xdr:row>32</xdr:row>
      <xdr:rowOff>179312</xdr:rowOff>
    </xdr:from>
    <xdr:to>
      <xdr:col>18</xdr:col>
      <xdr:colOff>381124</xdr:colOff>
      <xdr:row>34</xdr:row>
      <xdr:rowOff>154374</xdr:rowOff>
    </xdr:to>
    <xdr:sp macro="" textlink="Processing!A62">
      <xdr:nvSpPr>
        <xdr:cNvPr id="4106" name="TextBox 4105">
          <a:extLst>
            <a:ext uri="{FF2B5EF4-FFF2-40B4-BE49-F238E27FC236}">
              <a16:creationId xmlns:a16="http://schemas.microsoft.com/office/drawing/2014/main" id="{00000000-0008-0000-0300-00000A100000}"/>
            </a:ext>
          </a:extLst>
        </xdr:cNvPr>
        <xdr:cNvSpPr txBox="1"/>
      </xdr:nvSpPr>
      <xdr:spPr>
        <a:xfrm>
          <a:off x="10320540" y="5995679"/>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CE2048-4EAA-48C7-9487-E83B6DDB333B}" type="TxLink">
            <a:rPr lang="en-US" sz="1000" b="0" i="0" u="none" strike="noStrike">
              <a:solidFill>
                <a:schemeClr val="tx2">
                  <a:lumMod val="60000"/>
                  <a:lumOff val="40000"/>
                </a:schemeClr>
              </a:solidFill>
              <a:latin typeface="Calibri"/>
              <a:ea typeface="+mn-ea"/>
              <a:cs typeface="Calibri"/>
            </a:rPr>
            <a:pPr marL="0" indent="0"/>
            <a:t>Enterprise</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16</xdr:col>
      <xdr:colOff>589311</xdr:colOff>
      <xdr:row>34</xdr:row>
      <xdr:rowOff>87970</xdr:rowOff>
    </xdr:from>
    <xdr:to>
      <xdr:col>18</xdr:col>
      <xdr:colOff>381124</xdr:colOff>
      <xdr:row>36</xdr:row>
      <xdr:rowOff>63032</xdr:rowOff>
    </xdr:to>
    <xdr:sp macro="" textlink="Processing!A63">
      <xdr:nvSpPr>
        <xdr:cNvPr id="4107" name="TextBox 4106">
          <a:extLst>
            <a:ext uri="{FF2B5EF4-FFF2-40B4-BE49-F238E27FC236}">
              <a16:creationId xmlns:a16="http://schemas.microsoft.com/office/drawing/2014/main" id="{00000000-0008-0000-0300-00000B100000}"/>
            </a:ext>
          </a:extLst>
        </xdr:cNvPr>
        <xdr:cNvSpPr txBox="1"/>
      </xdr:nvSpPr>
      <xdr:spPr>
        <a:xfrm>
          <a:off x="10320540" y="6267860"/>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870A57-CD64-4F98-8518-0CD41AD7C3AD}" type="TxLink">
            <a:rPr lang="en-US" sz="1000" b="0" i="0" u="none" strike="noStrike">
              <a:solidFill>
                <a:schemeClr val="tx2">
                  <a:lumMod val="60000"/>
                  <a:lumOff val="40000"/>
                </a:schemeClr>
              </a:solidFill>
              <a:latin typeface="Calibri"/>
              <a:ea typeface="+mn-ea"/>
              <a:cs typeface="Calibri"/>
            </a:rPr>
            <a:pPr marL="0" indent="0"/>
            <a:t>Retail</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494863</xdr:colOff>
      <xdr:row>29</xdr:row>
      <xdr:rowOff>180236</xdr:rowOff>
    </xdr:from>
    <xdr:to>
      <xdr:col>19</xdr:col>
      <xdr:colOff>455953</xdr:colOff>
      <xdr:row>31</xdr:row>
      <xdr:rowOff>155298</xdr:rowOff>
    </xdr:to>
    <xdr:sp macro="" textlink="Processing!C60">
      <xdr:nvSpPr>
        <xdr:cNvPr id="4108" name="TextBox 4107">
          <a:extLst>
            <a:ext uri="{FF2B5EF4-FFF2-40B4-BE49-F238E27FC236}">
              <a16:creationId xmlns:a16="http://schemas.microsoft.com/office/drawing/2014/main" id="{00000000-0008-0000-0300-00000C100000}"/>
            </a:ext>
          </a:extLst>
        </xdr:cNvPr>
        <xdr:cNvSpPr txBox="1"/>
      </xdr:nvSpPr>
      <xdr:spPr>
        <a:xfrm>
          <a:off x="11442496" y="5451319"/>
          <a:ext cx="56929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92E178-FBCD-421A-B159-9E9855096651}" type="TxLink">
            <a:rPr lang="en-US" sz="1000" b="0" i="0" u="none" strike="noStrike">
              <a:solidFill>
                <a:schemeClr val="tx2">
                  <a:lumMod val="60000"/>
                  <a:lumOff val="40000"/>
                </a:schemeClr>
              </a:solidFill>
              <a:latin typeface="Calibri"/>
              <a:ea typeface="+mn-ea"/>
              <a:cs typeface="Calibri"/>
            </a:rPr>
            <a:pPr marL="0" indent="0"/>
            <a:t>20%</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494863</xdr:colOff>
      <xdr:row>31</xdr:row>
      <xdr:rowOff>88893</xdr:rowOff>
    </xdr:from>
    <xdr:to>
      <xdr:col>19</xdr:col>
      <xdr:colOff>455953</xdr:colOff>
      <xdr:row>33</xdr:row>
      <xdr:rowOff>63956</xdr:rowOff>
    </xdr:to>
    <xdr:sp macro="" textlink="Processing!C61">
      <xdr:nvSpPr>
        <xdr:cNvPr id="4109" name="TextBox 4108">
          <a:extLst>
            <a:ext uri="{FF2B5EF4-FFF2-40B4-BE49-F238E27FC236}">
              <a16:creationId xmlns:a16="http://schemas.microsoft.com/office/drawing/2014/main" id="{00000000-0008-0000-0300-00000D100000}"/>
            </a:ext>
          </a:extLst>
        </xdr:cNvPr>
        <xdr:cNvSpPr txBox="1"/>
      </xdr:nvSpPr>
      <xdr:spPr>
        <a:xfrm>
          <a:off x="11442496" y="5723499"/>
          <a:ext cx="56929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79165DD-E9EE-4FAB-B3D1-78A552E70503}" type="TxLink">
            <a:rPr lang="en-US" sz="1000" b="0" i="0" u="none" strike="noStrike">
              <a:solidFill>
                <a:schemeClr val="tx2">
                  <a:lumMod val="60000"/>
                  <a:lumOff val="40000"/>
                </a:schemeClr>
              </a:solidFill>
              <a:latin typeface="Calibri"/>
              <a:ea typeface="+mn-ea"/>
              <a:cs typeface="Calibri"/>
            </a:rPr>
            <a:pPr marL="0" indent="0"/>
            <a:t>21%</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494863</xdr:colOff>
      <xdr:row>32</xdr:row>
      <xdr:rowOff>179312</xdr:rowOff>
    </xdr:from>
    <xdr:to>
      <xdr:col>19</xdr:col>
      <xdr:colOff>455953</xdr:colOff>
      <xdr:row>34</xdr:row>
      <xdr:rowOff>154374</xdr:rowOff>
    </xdr:to>
    <xdr:sp macro="" textlink="Processing!C62">
      <xdr:nvSpPr>
        <xdr:cNvPr id="4110" name="TextBox 4109">
          <a:extLst>
            <a:ext uri="{FF2B5EF4-FFF2-40B4-BE49-F238E27FC236}">
              <a16:creationId xmlns:a16="http://schemas.microsoft.com/office/drawing/2014/main" id="{00000000-0008-0000-0300-00000E100000}"/>
            </a:ext>
          </a:extLst>
        </xdr:cNvPr>
        <xdr:cNvSpPr txBox="1"/>
      </xdr:nvSpPr>
      <xdr:spPr>
        <a:xfrm>
          <a:off x="11442496" y="5995679"/>
          <a:ext cx="56929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D21D42B-74F5-410B-BA08-470EF0498875}" type="TxLink">
            <a:rPr lang="en-US" sz="1000" b="0" i="0" u="none" strike="noStrike">
              <a:solidFill>
                <a:schemeClr val="tx2">
                  <a:lumMod val="60000"/>
                  <a:lumOff val="40000"/>
                </a:schemeClr>
              </a:solidFill>
              <a:latin typeface="Calibri"/>
              <a:ea typeface="+mn-ea"/>
              <a:cs typeface="Calibri"/>
            </a:rPr>
            <a:pPr marL="0" indent="0"/>
            <a:t>19%</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494863</xdr:colOff>
      <xdr:row>34</xdr:row>
      <xdr:rowOff>87970</xdr:rowOff>
    </xdr:from>
    <xdr:to>
      <xdr:col>19</xdr:col>
      <xdr:colOff>455953</xdr:colOff>
      <xdr:row>36</xdr:row>
      <xdr:rowOff>63032</xdr:rowOff>
    </xdr:to>
    <xdr:sp macro="" textlink="Processing!C63">
      <xdr:nvSpPr>
        <xdr:cNvPr id="4111" name="TextBox 4110">
          <a:extLst>
            <a:ext uri="{FF2B5EF4-FFF2-40B4-BE49-F238E27FC236}">
              <a16:creationId xmlns:a16="http://schemas.microsoft.com/office/drawing/2014/main" id="{00000000-0008-0000-0300-00000F100000}"/>
            </a:ext>
          </a:extLst>
        </xdr:cNvPr>
        <xdr:cNvSpPr txBox="1"/>
      </xdr:nvSpPr>
      <xdr:spPr>
        <a:xfrm>
          <a:off x="11442496" y="6267860"/>
          <a:ext cx="56929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1D78073-B69F-401E-88AB-D617FEE82B09}" type="TxLink">
            <a:rPr lang="en-US" sz="1000" b="0" i="0" u="none" strike="noStrike">
              <a:solidFill>
                <a:schemeClr val="tx2">
                  <a:lumMod val="60000"/>
                  <a:lumOff val="40000"/>
                </a:schemeClr>
              </a:solidFill>
              <a:latin typeface="Calibri"/>
              <a:ea typeface="+mn-ea"/>
              <a:cs typeface="Calibri"/>
            </a:rPr>
            <a:pPr marL="0" indent="0"/>
            <a:t>40%</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375951</xdr:colOff>
      <xdr:row>29</xdr:row>
      <xdr:rowOff>180236</xdr:rowOff>
    </xdr:from>
    <xdr:to>
      <xdr:col>20</xdr:col>
      <xdr:colOff>598911</xdr:colOff>
      <xdr:row>31</xdr:row>
      <xdr:rowOff>155298</xdr:rowOff>
    </xdr:to>
    <xdr:sp macro="" textlink="Processing!B60">
      <xdr:nvSpPr>
        <xdr:cNvPr id="4112" name="TextBox 4111">
          <a:extLst>
            <a:ext uri="{FF2B5EF4-FFF2-40B4-BE49-F238E27FC236}">
              <a16:creationId xmlns:a16="http://schemas.microsoft.com/office/drawing/2014/main" id="{00000000-0008-0000-0300-000010100000}"/>
            </a:ext>
          </a:extLst>
        </xdr:cNvPr>
        <xdr:cNvSpPr txBox="1"/>
      </xdr:nvSpPr>
      <xdr:spPr>
        <a:xfrm>
          <a:off x="11931786" y="5451319"/>
          <a:ext cx="83116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3DE8292D-29C8-4593-A571-35CBCA60A324}" type="TxLink">
            <a:rPr lang="en-US" sz="1000" b="0" i="0" u="none" strike="noStrike">
              <a:solidFill>
                <a:schemeClr val="tx2">
                  <a:lumMod val="60000"/>
                  <a:lumOff val="40000"/>
                </a:schemeClr>
              </a:solidFill>
              <a:latin typeface="Calibri"/>
              <a:ea typeface="+mn-ea"/>
              <a:cs typeface="Calibri"/>
            </a:rPr>
            <a:pPr marL="0" indent="0" algn="r"/>
            <a:t> $79 124 </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368331</xdr:colOff>
      <xdr:row>31</xdr:row>
      <xdr:rowOff>88893</xdr:rowOff>
    </xdr:from>
    <xdr:to>
      <xdr:col>20</xdr:col>
      <xdr:colOff>598911</xdr:colOff>
      <xdr:row>33</xdr:row>
      <xdr:rowOff>63956</xdr:rowOff>
    </xdr:to>
    <xdr:sp macro="" textlink="Processing!B61">
      <xdr:nvSpPr>
        <xdr:cNvPr id="4113" name="TextBox 4112">
          <a:extLst>
            <a:ext uri="{FF2B5EF4-FFF2-40B4-BE49-F238E27FC236}">
              <a16:creationId xmlns:a16="http://schemas.microsoft.com/office/drawing/2014/main" id="{00000000-0008-0000-0300-000011100000}"/>
            </a:ext>
          </a:extLst>
        </xdr:cNvPr>
        <xdr:cNvSpPr txBox="1"/>
      </xdr:nvSpPr>
      <xdr:spPr>
        <a:xfrm>
          <a:off x="11924166" y="5723499"/>
          <a:ext cx="83878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7F38A6D1-4B9C-4452-A8EE-B0D85888E2CE}" type="TxLink">
            <a:rPr lang="en-US" sz="1000" b="0" i="0" u="none" strike="noStrike">
              <a:solidFill>
                <a:schemeClr val="tx2">
                  <a:lumMod val="60000"/>
                  <a:lumOff val="40000"/>
                </a:schemeClr>
              </a:solidFill>
              <a:latin typeface="Calibri"/>
              <a:ea typeface="+mn-ea"/>
              <a:cs typeface="Calibri"/>
            </a:rPr>
            <a:pPr marL="0" indent="0" algn="r"/>
            <a:t> $85 563 </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337851</xdr:colOff>
      <xdr:row>32</xdr:row>
      <xdr:rowOff>179312</xdr:rowOff>
    </xdr:from>
    <xdr:to>
      <xdr:col>20</xdr:col>
      <xdr:colOff>598911</xdr:colOff>
      <xdr:row>34</xdr:row>
      <xdr:rowOff>154374</xdr:rowOff>
    </xdr:to>
    <xdr:sp macro="" textlink="Processing!B62">
      <xdr:nvSpPr>
        <xdr:cNvPr id="4114" name="TextBox 4113">
          <a:extLst>
            <a:ext uri="{FF2B5EF4-FFF2-40B4-BE49-F238E27FC236}">
              <a16:creationId xmlns:a16="http://schemas.microsoft.com/office/drawing/2014/main" id="{00000000-0008-0000-0300-000012100000}"/>
            </a:ext>
          </a:extLst>
        </xdr:cNvPr>
        <xdr:cNvSpPr txBox="1"/>
      </xdr:nvSpPr>
      <xdr:spPr>
        <a:xfrm>
          <a:off x="11893686" y="5995679"/>
          <a:ext cx="86926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FC5DA05C-AADF-4200-AFBA-94A6CEC2DBE8}" type="TxLink">
            <a:rPr lang="en-US" sz="1000" b="0" i="0" u="none" strike="noStrike">
              <a:solidFill>
                <a:schemeClr val="tx2">
                  <a:lumMod val="60000"/>
                  <a:lumOff val="40000"/>
                </a:schemeClr>
              </a:solidFill>
              <a:latin typeface="Calibri"/>
              <a:ea typeface="+mn-ea"/>
              <a:cs typeface="Calibri"/>
            </a:rPr>
            <a:pPr marL="0" indent="0" algn="r"/>
            <a:t> $75 438 </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337851</xdr:colOff>
      <xdr:row>34</xdr:row>
      <xdr:rowOff>87970</xdr:rowOff>
    </xdr:from>
    <xdr:to>
      <xdr:col>20</xdr:col>
      <xdr:colOff>598911</xdr:colOff>
      <xdr:row>36</xdr:row>
      <xdr:rowOff>63032</xdr:rowOff>
    </xdr:to>
    <xdr:sp macro="" textlink="Processing!B63">
      <xdr:nvSpPr>
        <xdr:cNvPr id="4115" name="TextBox 4114">
          <a:extLst>
            <a:ext uri="{FF2B5EF4-FFF2-40B4-BE49-F238E27FC236}">
              <a16:creationId xmlns:a16="http://schemas.microsoft.com/office/drawing/2014/main" id="{00000000-0008-0000-0300-000013100000}"/>
            </a:ext>
          </a:extLst>
        </xdr:cNvPr>
        <xdr:cNvSpPr txBox="1"/>
      </xdr:nvSpPr>
      <xdr:spPr>
        <a:xfrm>
          <a:off x="11893686" y="6267860"/>
          <a:ext cx="869262"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21CD45A7-6694-4D40-9404-5EC1D427075C}" type="TxLink">
            <a:rPr lang="en-US" sz="1000" b="0" i="0" u="none" strike="noStrike">
              <a:solidFill>
                <a:schemeClr val="tx2">
                  <a:lumMod val="60000"/>
                  <a:lumOff val="40000"/>
                </a:schemeClr>
              </a:solidFill>
              <a:latin typeface="Calibri"/>
              <a:ea typeface="+mn-ea"/>
              <a:cs typeface="Calibri"/>
            </a:rPr>
            <a:pPr marL="0" indent="0" algn="r"/>
            <a:t> $161 540 </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17</xdr:col>
      <xdr:colOff>63595</xdr:colOff>
      <xdr:row>31</xdr:row>
      <xdr:rowOff>77396</xdr:rowOff>
    </xdr:from>
    <xdr:to>
      <xdr:col>20</xdr:col>
      <xdr:colOff>519397</xdr:colOff>
      <xdr:row>31</xdr:row>
      <xdr:rowOff>77396</xdr:rowOff>
    </xdr:to>
    <xdr:cxnSp macro="">
      <xdr:nvCxnSpPr>
        <xdr:cNvPr id="4116" name="Straight Connector 4115">
          <a:extLst>
            <a:ext uri="{FF2B5EF4-FFF2-40B4-BE49-F238E27FC236}">
              <a16:creationId xmlns:a16="http://schemas.microsoft.com/office/drawing/2014/main" id="{00000000-0008-0000-0300-000014100000}"/>
            </a:ext>
          </a:extLst>
        </xdr:cNvPr>
        <xdr:cNvCxnSpPr/>
      </xdr:nvCxnSpPr>
      <xdr:spPr>
        <a:xfrm>
          <a:off x="10403026" y="5712002"/>
          <a:ext cx="2280408" cy="0"/>
        </a:xfrm>
        <a:prstGeom prst="line">
          <a:avLst/>
        </a:prstGeom>
        <a:ln>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63595</xdr:colOff>
      <xdr:row>32</xdr:row>
      <xdr:rowOff>166916</xdr:rowOff>
    </xdr:from>
    <xdr:to>
      <xdr:col>20</xdr:col>
      <xdr:colOff>519397</xdr:colOff>
      <xdr:row>32</xdr:row>
      <xdr:rowOff>166916</xdr:rowOff>
    </xdr:to>
    <xdr:cxnSp macro="">
      <xdr:nvCxnSpPr>
        <xdr:cNvPr id="4117" name="Straight Connector 4116">
          <a:extLst>
            <a:ext uri="{FF2B5EF4-FFF2-40B4-BE49-F238E27FC236}">
              <a16:creationId xmlns:a16="http://schemas.microsoft.com/office/drawing/2014/main" id="{00000000-0008-0000-0300-000015100000}"/>
            </a:ext>
          </a:extLst>
        </xdr:cNvPr>
        <xdr:cNvCxnSpPr/>
      </xdr:nvCxnSpPr>
      <xdr:spPr>
        <a:xfrm>
          <a:off x="10403026" y="5983283"/>
          <a:ext cx="2280408" cy="0"/>
        </a:xfrm>
        <a:prstGeom prst="line">
          <a:avLst/>
        </a:prstGeom>
        <a:ln>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63595</xdr:colOff>
      <xdr:row>34</xdr:row>
      <xdr:rowOff>74673</xdr:rowOff>
    </xdr:from>
    <xdr:to>
      <xdr:col>20</xdr:col>
      <xdr:colOff>519397</xdr:colOff>
      <xdr:row>34</xdr:row>
      <xdr:rowOff>74673</xdr:rowOff>
    </xdr:to>
    <xdr:cxnSp macro="">
      <xdr:nvCxnSpPr>
        <xdr:cNvPr id="4118" name="Straight Connector 4117">
          <a:extLst>
            <a:ext uri="{FF2B5EF4-FFF2-40B4-BE49-F238E27FC236}">
              <a16:creationId xmlns:a16="http://schemas.microsoft.com/office/drawing/2014/main" id="{00000000-0008-0000-0300-000016100000}"/>
            </a:ext>
          </a:extLst>
        </xdr:cNvPr>
        <xdr:cNvCxnSpPr/>
      </xdr:nvCxnSpPr>
      <xdr:spPr>
        <a:xfrm>
          <a:off x="10403026" y="6254563"/>
          <a:ext cx="2280408" cy="0"/>
        </a:xfrm>
        <a:prstGeom prst="line">
          <a:avLst/>
        </a:prstGeom>
        <a:ln>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590470</xdr:colOff>
      <xdr:row>18</xdr:row>
      <xdr:rowOff>148751</xdr:rowOff>
    </xdr:from>
    <xdr:to>
      <xdr:col>20</xdr:col>
      <xdr:colOff>440421</xdr:colOff>
      <xdr:row>21</xdr:row>
      <xdr:rowOff>167715</xdr:rowOff>
    </xdr:to>
    <xdr:sp macro="" textlink="Processing!A59">
      <xdr:nvSpPr>
        <xdr:cNvPr id="4119" name="TextBox 4118">
          <a:extLst>
            <a:ext uri="{FF2B5EF4-FFF2-40B4-BE49-F238E27FC236}">
              <a16:creationId xmlns:a16="http://schemas.microsoft.com/office/drawing/2014/main" id="{00000000-0008-0000-0300-000017100000}"/>
            </a:ext>
          </a:extLst>
        </xdr:cNvPr>
        <xdr:cNvSpPr txBox="1"/>
      </xdr:nvSpPr>
      <xdr:spPr>
        <a:xfrm>
          <a:off x="10321699" y="3420457"/>
          <a:ext cx="2282759" cy="56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FEB1C1-458D-48B4-B2C5-9945C762B648}" type="TxLink">
            <a:rPr lang="en-US" sz="1400" b="0" i="1" u="none" strike="noStrike">
              <a:solidFill>
                <a:schemeClr val="bg1"/>
              </a:solidFill>
              <a:latin typeface="Aptos Narrow"/>
              <a:ea typeface="+mn-ea"/>
              <a:cs typeface="+mn-cs"/>
            </a:rPr>
            <a:pPr marL="0" indent="0"/>
            <a:t>Revenue by Department</a:t>
          </a:fld>
          <a:endParaRPr lang="ru-RU" sz="1400" b="0" i="1" u="none" strike="noStrike">
            <a:solidFill>
              <a:schemeClr val="bg1"/>
            </a:solidFill>
            <a:latin typeface="Aptos Narrow"/>
            <a:ea typeface="+mn-ea"/>
            <a:cs typeface="+mn-cs"/>
          </a:endParaRPr>
        </a:p>
      </xdr:txBody>
    </xdr:sp>
    <xdr:clientData/>
  </xdr:twoCellAnchor>
  <xdr:twoCellAnchor>
    <xdr:from>
      <xdr:col>8</xdr:col>
      <xdr:colOff>527680</xdr:colOff>
      <xdr:row>13</xdr:row>
      <xdr:rowOff>55263</xdr:rowOff>
    </xdr:from>
    <xdr:to>
      <xdr:col>12</xdr:col>
      <xdr:colOff>447412</xdr:colOff>
      <xdr:row>26</xdr:row>
      <xdr:rowOff>72890</xdr:rowOff>
    </xdr:to>
    <xdr:grpSp>
      <xdr:nvGrpSpPr>
        <xdr:cNvPr id="4132" name="Group 4131">
          <a:extLst>
            <a:ext uri="{FF2B5EF4-FFF2-40B4-BE49-F238E27FC236}">
              <a16:creationId xmlns:a16="http://schemas.microsoft.com/office/drawing/2014/main" id="{00000000-0008-0000-0300-000024100000}"/>
            </a:ext>
          </a:extLst>
        </xdr:cNvPr>
        <xdr:cNvGrpSpPr/>
      </xdr:nvGrpSpPr>
      <xdr:grpSpPr>
        <a:xfrm>
          <a:off x="5438347" y="2394180"/>
          <a:ext cx="2375065" cy="2356543"/>
          <a:chOff x="10183091" y="1023835"/>
          <a:chExt cx="1920240" cy="1920240"/>
        </a:xfrm>
      </xdr:grpSpPr>
      <xdr:graphicFrame macro="">
        <xdr:nvGraphicFramePr>
          <xdr:cNvPr id="4134" name="Chart 4133">
            <a:extLst>
              <a:ext uri="{FF2B5EF4-FFF2-40B4-BE49-F238E27FC236}">
                <a16:creationId xmlns:a16="http://schemas.microsoft.com/office/drawing/2014/main" id="{00000000-0008-0000-0300-000026100000}"/>
              </a:ext>
            </a:extLst>
          </xdr:cNvPr>
          <xdr:cNvGraphicFramePr>
            <a:graphicFrameLocks/>
          </xdr:cNvGraphicFramePr>
        </xdr:nvGraphicFramePr>
        <xdr:xfrm>
          <a:off x="10183091" y="1023835"/>
          <a:ext cx="1920240" cy="192024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4135" name="Oval 4134">
            <a:extLst>
              <a:ext uri="{FF2B5EF4-FFF2-40B4-BE49-F238E27FC236}">
                <a16:creationId xmlns:a16="http://schemas.microsoft.com/office/drawing/2014/main" id="{00000000-0008-0000-0300-000027100000}"/>
              </a:ext>
            </a:extLst>
          </xdr:cNvPr>
          <xdr:cNvSpPr/>
        </xdr:nvSpPr>
        <xdr:spPr>
          <a:xfrm>
            <a:off x="10537918" y="1378662"/>
            <a:ext cx="1210586" cy="1210586"/>
          </a:xfrm>
          <a:prstGeom prst="ellipse">
            <a:avLst/>
          </a:prstGeom>
          <a:gradFill>
            <a:gsLst>
              <a:gs pos="44000">
                <a:srgbClr val="050714"/>
              </a:gs>
              <a:gs pos="52000">
                <a:srgbClr val="050714">
                  <a:alpha val="88000"/>
                </a:srgbClr>
              </a:gs>
              <a:gs pos="85000">
                <a:srgbClr val="050714">
                  <a:alpha val="0"/>
                </a:srgbClr>
              </a:gs>
            </a:gsLst>
            <a:path path="circle">
              <a:fillToRect l="50000" t="50000" r="50000" b="5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9</xdr:col>
      <xdr:colOff>400472</xdr:colOff>
      <xdr:row>18</xdr:row>
      <xdr:rowOff>169263</xdr:rowOff>
    </xdr:from>
    <xdr:to>
      <xdr:col>11</xdr:col>
      <xdr:colOff>574620</xdr:colOff>
      <xdr:row>20</xdr:row>
      <xdr:rowOff>140652</xdr:rowOff>
    </xdr:to>
    <xdr:sp macro="" textlink="Processing!C64">
      <xdr:nvSpPr>
        <xdr:cNvPr id="4133" name="TextBox 4132">
          <a:extLst>
            <a:ext uri="{FF2B5EF4-FFF2-40B4-BE49-F238E27FC236}">
              <a16:creationId xmlns:a16="http://schemas.microsoft.com/office/drawing/2014/main" id="{00000000-0008-0000-0300-000025100000}"/>
            </a:ext>
          </a:extLst>
        </xdr:cNvPr>
        <xdr:cNvSpPr txBox="1"/>
      </xdr:nvSpPr>
      <xdr:spPr>
        <a:xfrm>
          <a:off x="5874289" y="3440969"/>
          <a:ext cx="1390551" cy="334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EB0C71-49C4-4BC6-8181-3F395017A3CC}" type="TxLink">
            <a:rPr lang="en-US" sz="1800" b="0" i="1" u="none" strike="noStrike">
              <a:solidFill>
                <a:schemeClr val="bg1"/>
              </a:solidFill>
              <a:latin typeface="Aptos Narrow"/>
              <a:ea typeface="+mn-ea"/>
              <a:cs typeface="+mn-cs"/>
            </a:rPr>
            <a:pPr marL="0" indent="0" algn="ctr"/>
            <a:t> $401 665 </a:t>
          </a:fld>
          <a:endParaRPr lang="ru-RU" sz="1800" b="0" i="1" u="none" strike="noStrike">
            <a:solidFill>
              <a:schemeClr val="bg1"/>
            </a:solidFill>
            <a:latin typeface="Aptos Narrow"/>
            <a:ea typeface="+mn-ea"/>
            <a:cs typeface="+mn-cs"/>
          </a:endParaRPr>
        </a:p>
      </xdr:txBody>
    </xdr:sp>
    <xdr:clientData/>
  </xdr:twoCellAnchor>
  <xdr:twoCellAnchor>
    <xdr:from>
      <xdr:col>12</xdr:col>
      <xdr:colOff>415699</xdr:colOff>
      <xdr:row>12</xdr:row>
      <xdr:rowOff>44333</xdr:rowOff>
    </xdr:from>
    <xdr:to>
      <xdr:col>16</xdr:col>
      <xdr:colOff>484973</xdr:colOff>
      <xdr:row>15</xdr:row>
      <xdr:rowOff>61646</xdr:rowOff>
    </xdr:to>
    <xdr:sp macro="" textlink="Processing!A59">
      <xdr:nvSpPr>
        <xdr:cNvPr id="4136" name="TextBox 4135">
          <a:extLst>
            <a:ext uri="{FF2B5EF4-FFF2-40B4-BE49-F238E27FC236}">
              <a16:creationId xmlns:a16="http://schemas.microsoft.com/office/drawing/2014/main" id="{00000000-0008-0000-0300-000028100000}"/>
            </a:ext>
          </a:extLst>
        </xdr:cNvPr>
        <xdr:cNvSpPr txBox="1"/>
      </xdr:nvSpPr>
      <xdr:spPr>
        <a:xfrm>
          <a:off x="7714121" y="2225471"/>
          <a:ext cx="2502081" cy="5625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FEB1C1-458D-48B4-B2C5-9945C762B648}" type="TxLink">
            <a:rPr lang="en-US" sz="1800" b="0" i="1" u="none" strike="noStrike">
              <a:solidFill>
                <a:schemeClr val="bg1"/>
              </a:solidFill>
              <a:latin typeface="Aptos Narrow"/>
              <a:ea typeface="+mn-ea"/>
              <a:cs typeface="+mn-cs"/>
            </a:rPr>
            <a:pPr marL="0" indent="0"/>
            <a:t>Revenue by Department</a:t>
          </a:fld>
          <a:endParaRPr lang="ru-RU" sz="1800" b="0" i="1" u="none" strike="noStrike">
            <a:solidFill>
              <a:schemeClr val="bg1"/>
            </a:solidFill>
            <a:latin typeface="Aptos Narrow"/>
            <a:ea typeface="+mn-ea"/>
            <a:cs typeface="+mn-cs"/>
          </a:endParaRPr>
        </a:p>
      </xdr:txBody>
    </xdr:sp>
    <xdr:clientData/>
  </xdr:twoCellAnchor>
  <xdr:twoCellAnchor>
    <xdr:from>
      <xdr:col>0</xdr:col>
      <xdr:colOff>325580</xdr:colOff>
      <xdr:row>12</xdr:row>
      <xdr:rowOff>66323</xdr:rowOff>
    </xdr:from>
    <xdr:to>
      <xdr:col>3</xdr:col>
      <xdr:colOff>237687</xdr:colOff>
      <xdr:row>13</xdr:row>
      <xdr:rowOff>160534</xdr:rowOff>
    </xdr:to>
    <xdr:sp macro="" textlink="Processing!A17">
      <xdr:nvSpPr>
        <xdr:cNvPr id="4173" name="TextBox 4172">
          <a:extLst>
            <a:ext uri="{FF2B5EF4-FFF2-40B4-BE49-F238E27FC236}">
              <a16:creationId xmlns:a16="http://schemas.microsoft.com/office/drawing/2014/main" id="{00000000-0008-0000-0300-00004D100000}"/>
            </a:ext>
          </a:extLst>
        </xdr:cNvPr>
        <xdr:cNvSpPr txBox="1"/>
      </xdr:nvSpPr>
      <xdr:spPr>
        <a:xfrm>
          <a:off x="325580" y="2247461"/>
          <a:ext cx="1736713"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31D10F-969B-4E3F-B350-5027A9D89D37}" type="TxLink">
            <a:rPr lang="en-US" sz="1400" b="0" i="1" u="none" strike="noStrike">
              <a:solidFill>
                <a:schemeClr val="bg1"/>
              </a:solidFill>
              <a:latin typeface="Aptos Narrow"/>
              <a:ea typeface="+mn-ea"/>
              <a:cs typeface="+mn-cs"/>
            </a:rPr>
            <a:pPr marL="0" indent="0"/>
            <a:t>Monthly Profit Trends</a:t>
          </a:fld>
          <a:endParaRPr lang="ru-RU" sz="1400" b="0" i="1" u="none" strike="noStrike">
            <a:solidFill>
              <a:schemeClr val="bg1"/>
            </a:solidFill>
            <a:latin typeface="Aptos Narrow"/>
            <a:ea typeface="+mn-ea"/>
            <a:cs typeface="+mn-cs"/>
          </a:endParaRPr>
        </a:p>
      </xdr:txBody>
    </xdr:sp>
    <xdr:clientData/>
  </xdr:twoCellAnchor>
  <xdr:twoCellAnchor>
    <xdr:from>
      <xdr:col>7</xdr:col>
      <xdr:colOff>167447</xdr:colOff>
      <xdr:row>12</xdr:row>
      <xdr:rowOff>58703</xdr:rowOff>
    </xdr:from>
    <xdr:to>
      <xdr:col>9</xdr:col>
      <xdr:colOff>4496</xdr:colOff>
      <xdr:row>13</xdr:row>
      <xdr:rowOff>152914</xdr:rowOff>
    </xdr:to>
    <xdr:sp macro="" textlink="Processing!C30">
      <xdr:nvSpPr>
        <xdr:cNvPr id="4174" name="TextBox 4173">
          <a:extLst>
            <a:ext uri="{FF2B5EF4-FFF2-40B4-BE49-F238E27FC236}">
              <a16:creationId xmlns:a16="http://schemas.microsoft.com/office/drawing/2014/main" id="{00000000-0008-0000-0300-00004E100000}"/>
            </a:ext>
          </a:extLst>
        </xdr:cNvPr>
        <xdr:cNvSpPr txBox="1"/>
      </xdr:nvSpPr>
      <xdr:spPr>
        <a:xfrm>
          <a:off x="4424860" y="2239841"/>
          <a:ext cx="1053453"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7F4F4F5-F854-4EA7-9EB1-9629EF2086F3}" type="TxLink">
            <a:rPr lang="en-US" sz="1600" b="0" i="1" u="none" strike="noStrike">
              <a:solidFill>
                <a:schemeClr val="bg1"/>
              </a:solidFill>
              <a:latin typeface="Aptos Narrow"/>
              <a:ea typeface="+mn-ea"/>
              <a:cs typeface="+mn-cs"/>
            </a:rPr>
            <a:pPr marL="0" indent="0" algn="l"/>
            <a:t> 144 168 </a:t>
          </a:fld>
          <a:endParaRPr lang="ru-RU" sz="1600" b="0" i="1" u="none" strike="noStrike">
            <a:solidFill>
              <a:schemeClr val="bg1"/>
            </a:solidFill>
            <a:latin typeface="Aptos Narrow"/>
            <a:ea typeface="+mn-ea"/>
            <a:cs typeface="+mn-cs"/>
          </a:endParaRPr>
        </a:p>
      </xdr:txBody>
    </xdr:sp>
    <xdr:clientData/>
  </xdr:twoCellAnchor>
  <xdr:twoCellAnchor editAs="oneCell">
    <xdr:from>
      <xdr:col>12</xdr:col>
      <xdr:colOff>580238</xdr:colOff>
      <xdr:row>16</xdr:row>
      <xdr:rowOff>13983</xdr:rowOff>
    </xdr:from>
    <xdr:to>
      <xdr:col>14</xdr:col>
      <xdr:colOff>370511</xdr:colOff>
      <xdr:row>24</xdr:row>
      <xdr:rowOff>114371</xdr:rowOff>
    </xdr:to>
    <mc:AlternateContent xmlns:mc="http://schemas.openxmlformats.org/markup-compatibility/2006" xmlns:a14="http://schemas.microsoft.com/office/drawing/2010/main">
      <mc:Choice Requires="a14">
        <xdr:graphicFrame macro="">
          <xdr:nvGraphicFramePr>
            <xdr:cNvPr id="4178" name="Sources">
              <a:extLst>
                <a:ext uri="{FF2B5EF4-FFF2-40B4-BE49-F238E27FC236}">
                  <a16:creationId xmlns:a16="http://schemas.microsoft.com/office/drawing/2014/main" id="{00000000-0008-0000-0300-000052100000}"/>
                </a:ext>
              </a:extLst>
            </xdr:cNvPr>
            <xdr:cNvGraphicFramePr/>
          </xdr:nvGraphicFramePr>
          <xdr:xfrm>
            <a:off x="0" y="0"/>
            <a:ext cx="0" cy="0"/>
          </xdr:xfrm>
          <a:graphic>
            <a:graphicData uri="http://schemas.microsoft.com/office/drawing/2010/slicer">
              <sle:slicer xmlns:sle="http://schemas.microsoft.com/office/drawing/2010/slicer" name="Sources"/>
            </a:graphicData>
          </a:graphic>
        </xdr:graphicFrame>
      </mc:Choice>
      <mc:Fallback xmlns="">
        <xdr:sp macro="" textlink="">
          <xdr:nvSpPr>
            <xdr:cNvPr id="0" name=""/>
            <xdr:cNvSpPr>
              <a:spLocks noTextEdit="1"/>
            </xdr:cNvSpPr>
          </xdr:nvSpPr>
          <xdr:spPr>
            <a:xfrm>
              <a:off x="7878660" y="2922166"/>
              <a:ext cx="1006677"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403116</xdr:colOff>
      <xdr:row>16</xdr:row>
      <xdr:rowOff>143340</xdr:rowOff>
    </xdr:from>
    <xdr:to>
      <xdr:col>12</xdr:col>
      <xdr:colOff>585996</xdr:colOff>
      <xdr:row>17</xdr:row>
      <xdr:rowOff>146111</xdr:rowOff>
    </xdr:to>
    <xdr:sp macro="" textlink="">
      <xdr:nvSpPr>
        <xdr:cNvPr id="4137" name="Rectangle: Rounded Corners 4136">
          <a:extLst>
            <a:ext uri="{FF2B5EF4-FFF2-40B4-BE49-F238E27FC236}">
              <a16:creationId xmlns:a16="http://schemas.microsoft.com/office/drawing/2014/main" id="{00000000-0008-0000-0300-000029100000}"/>
            </a:ext>
          </a:extLst>
        </xdr:cNvPr>
        <xdr:cNvSpPr/>
      </xdr:nvSpPr>
      <xdr:spPr>
        <a:xfrm>
          <a:off x="7701538" y="3051523"/>
          <a:ext cx="182880" cy="184533"/>
        </a:xfrm>
        <a:prstGeom prst="roundRect">
          <a:avLst>
            <a:gd name="adj" fmla="val 29570"/>
          </a:avLst>
        </a:prstGeom>
        <a:gradFill>
          <a:gsLst>
            <a:gs pos="0">
              <a:srgbClr val="FF2E9F"/>
            </a:gs>
            <a:gs pos="100000">
              <a:srgbClr val="FF00E0"/>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403116</xdr:colOff>
      <xdr:row>18</xdr:row>
      <xdr:rowOff>111155</xdr:rowOff>
    </xdr:from>
    <xdr:to>
      <xdr:col>12</xdr:col>
      <xdr:colOff>585996</xdr:colOff>
      <xdr:row>19</xdr:row>
      <xdr:rowOff>113926</xdr:rowOff>
    </xdr:to>
    <xdr:sp macro="" textlink="">
      <xdr:nvSpPr>
        <xdr:cNvPr id="4138" name="Rectangle: Rounded Corners 4137">
          <a:extLst>
            <a:ext uri="{FF2B5EF4-FFF2-40B4-BE49-F238E27FC236}">
              <a16:creationId xmlns:a16="http://schemas.microsoft.com/office/drawing/2014/main" id="{00000000-0008-0000-0300-00002A100000}"/>
            </a:ext>
          </a:extLst>
        </xdr:cNvPr>
        <xdr:cNvSpPr/>
      </xdr:nvSpPr>
      <xdr:spPr>
        <a:xfrm>
          <a:off x="7701538" y="3382861"/>
          <a:ext cx="182880" cy="184533"/>
        </a:xfrm>
        <a:prstGeom prst="roundRect">
          <a:avLst>
            <a:gd name="adj" fmla="val 29570"/>
          </a:avLst>
        </a:prstGeom>
        <a:gradFill>
          <a:gsLst>
            <a:gs pos="0">
              <a:srgbClr val="7B2FFF"/>
            </a:gs>
            <a:gs pos="100000">
              <a:srgbClr val="C44DFF"/>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403116</xdr:colOff>
      <xdr:row>20</xdr:row>
      <xdr:rowOff>78970</xdr:rowOff>
    </xdr:from>
    <xdr:to>
      <xdr:col>12</xdr:col>
      <xdr:colOff>585996</xdr:colOff>
      <xdr:row>21</xdr:row>
      <xdr:rowOff>81741</xdr:rowOff>
    </xdr:to>
    <xdr:sp macro="" textlink="">
      <xdr:nvSpPr>
        <xdr:cNvPr id="4139" name="Rectangle: Rounded Corners 4138">
          <a:extLst>
            <a:ext uri="{FF2B5EF4-FFF2-40B4-BE49-F238E27FC236}">
              <a16:creationId xmlns:a16="http://schemas.microsoft.com/office/drawing/2014/main" id="{00000000-0008-0000-0300-00002B100000}"/>
            </a:ext>
          </a:extLst>
        </xdr:cNvPr>
        <xdr:cNvSpPr/>
      </xdr:nvSpPr>
      <xdr:spPr>
        <a:xfrm>
          <a:off x="7701538" y="3714199"/>
          <a:ext cx="182880" cy="184533"/>
        </a:xfrm>
        <a:prstGeom prst="roundRect">
          <a:avLst>
            <a:gd name="adj" fmla="val 29570"/>
          </a:avLst>
        </a:prstGeom>
        <a:gradFill>
          <a:gsLst>
            <a:gs pos="0">
              <a:srgbClr val="00F5FF"/>
            </a:gs>
            <a:gs pos="100000">
              <a:srgbClr val="00A8FF"/>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403116</xdr:colOff>
      <xdr:row>22</xdr:row>
      <xdr:rowOff>46784</xdr:rowOff>
    </xdr:from>
    <xdr:to>
      <xdr:col>12</xdr:col>
      <xdr:colOff>585996</xdr:colOff>
      <xdr:row>23</xdr:row>
      <xdr:rowOff>49555</xdr:rowOff>
    </xdr:to>
    <xdr:sp macro="" textlink="">
      <xdr:nvSpPr>
        <xdr:cNvPr id="4140" name="Rectangle: Rounded Corners 4139">
          <a:extLst>
            <a:ext uri="{FF2B5EF4-FFF2-40B4-BE49-F238E27FC236}">
              <a16:creationId xmlns:a16="http://schemas.microsoft.com/office/drawing/2014/main" id="{00000000-0008-0000-0300-00002C100000}"/>
            </a:ext>
          </a:extLst>
        </xdr:cNvPr>
        <xdr:cNvSpPr/>
      </xdr:nvSpPr>
      <xdr:spPr>
        <a:xfrm>
          <a:off x="7701538" y="4045536"/>
          <a:ext cx="182880" cy="184533"/>
        </a:xfrm>
        <a:prstGeom prst="roundRect">
          <a:avLst>
            <a:gd name="adj" fmla="val 29570"/>
          </a:avLst>
        </a:prstGeom>
        <a:gradFill>
          <a:gsLst>
            <a:gs pos="0">
              <a:srgbClr val="A8FF3E"/>
            </a:gs>
            <a:gs pos="100000">
              <a:srgbClr val="00FF9D"/>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300604</xdr:colOff>
      <xdr:row>16</xdr:row>
      <xdr:rowOff>97873</xdr:rowOff>
    </xdr:from>
    <xdr:to>
      <xdr:col>15</xdr:col>
      <xdr:colOff>423922</xdr:colOff>
      <xdr:row>18</xdr:row>
      <xdr:rowOff>8670</xdr:rowOff>
    </xdr:to>
    <xdr:sp macro="" textlink="Processing!G77">
      <xdr:nvSpPr>
        <xdr:cNvPr id="4181" name="TextBox 4180">
          <a:extLst>
            <a:ext uri="{FF2B5EF4-FFF2-40B4-BE49-F238E27FC236}">
              <a16:creationId xmlns:a16="http://schemas.microsoft.com/office/drawing/2014/main" id="{00000000-0008-0000-0300-000055100000}"/>
            </a:ext>
          </a:extLst>
        </xdr:cNvPr>
        <xdr:cNvSpPr txBox="1"/>
      </xdr:nvSpPr>
      <xdr:spPr>
        <a:xfrm>
          <a:off x="8815430" y="3006056"/>
          <a:ext cx="731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529F294-7B66-43D3-90A2-D9449C7F0C4E}" type="TxLink">
            <a:rPr lang="en-US" sz="1800" b="0" i="1" u="none" strike="noStrike">
              <a:solidFill>
                <a:schemeClr val="bg1"/>
              </a:solidFill>
              <a:latin typeface="Aptos Narrow"/>
              <a:ea typeface="+mn-ea"/>
              <a:cs typeface="+mn-cs"/>
            </a:rPr>
            <a:pPr marL="0" indent="0" algn="l"/>
            <a:t>18%</a:t>
          </a:fld>
          <a:endParaRPr lang="ru-RU" sz="1800" b="0" i="1" u="none" strike="noStrike">
            <a:solidFill>
              <a:schemeClr val="bg1"/>
            </a:solidFill>
            <a:latin typeface="Aptos Narrow"/>
            <a:ea typeface="+mn-ea"/>
            <a:cs typeface="+mn-cs"/>
          </a:endParaRPr>
        </a:p>
      </xdr:txBody>
    </xdr:sp>
    <xdr:clientData/>
  </xdr:twoCellAnchor>
  <xdr:twoCellAnchor>
    <xdr:from>
      <xdr:col>14</xdr:col>
      <xdr:colOff>300604</xdr:colOff>
      <xdr:row>18</xdr:row>
      <xdr:rowOff>69630</xdr:rowOff>
    </xdr:from>
    <xdr:to>
      <xdr:col>15</xdr:col>
      <xdr:colOff>423922</xdr:colOff>
      <xdr:row>19</xdr:row>
      <xdr:rowOff>162188</xdr:rowOff>
    </xdr:to>
    <xdr:sp macro="" textlink="Processing!G78">
      <xdr:nvSpPr>
        <xdr:cNvPr id="4182" name="TextBox 4181">
          <a:extLst>
            <a:ext uri="{FF2B5EF4-FFF2-40B4-BE49-F238E27FC236}">
              <a16:creationId xmlns:a16="http://schemas.microsoft.com/office/drawing/2014/main" id="{00000000-0008-0000-0300-000056100000}"/>
            </a:ext>
          </a:extLst>
        </xdr:cNvPr>
        <xdr:cNvSpPr txBox="1"/>
      </xdr:nvSpPr>
      <xdr:spPr>
        <a:xfrm>
          <a:off x="8815430" y="3341336"/>
          <a:ext cx="731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EE4D195-08C4-4140-AFED-229074425823}" type="TxLink">
            <a:rPr lang="en-US" sz="1800" b="0" i="1" u="none" strike="noStrike">
              <a:solidFill>
                <a:schemeClr val="bg1"/>
              </a:solidFill>
              <a:latin typeface="Aptos Narrow"/>
              <a:ea typeface="+mn-ea"/>
              <a:cs typeface="+mn-cs"/>
            </a:rPr>
            <a:pPr marL="0" indent="0" algn="l"/>
            <a:t>24%</a:t>
          </a:fld>
          <a:endParaRPr lang="ru-RU" sz="1800" b="0" i="1" u="none" strike="noStrike">
            <a:solidFill>
              <a:schemeClr val="bg1"/>
            </a:solidFill>
            <a:latin typeface="Aptos Narrow"/>
            <a:ea typeface="+mn-ea"/>
            <a:cs typeface="+mn-cs"/>
          </a:endParaRPr>
        </a:p>
      </xdr:txBody>
    </xdr:sp>
    <xdr:clientData/>
  </xdr:twoCellAnchor>
  <xdr:twoCellAnchor>
    <xdr:from>
      <xdr:col>14</xdr:col>
      <xdr:colOff>300604</xdr:colOff>
      <xdr:row>20</xdr:row>
      <xdr:rowOff>41387</xdr:rowOff>
    </xdr:from>
    <xdr:to>
      <xdr:col>15</xdr:col>
      <xdr:colOff>423922</xdr:colOff>
      <xdr:row>21</xdr:row>
      <xdr:rowOff>133945</xdr:rowOff>
    </xdr:to>
    <xdr:sp macro="" textlink="Processing!G79">
      <xdr:nvSpPr>
        <xdr:cNvPr id="4183" name="TextBox 4182">
          <a:extLst>
            <a:ext uri="{FF2B5EF4-FFF2-40B4-BE49-F238E27FC236}">
              <a16:creationId xmlns:a16="http://schemas.microsoft.com/office/drawing/2014/main" id="{00000000-0008-0000-0300-000057100000}"/>
            </a:ext>
          </a:extLst>
        </xdr:cNvPr>
        <xdr:cNvSpPr txBox="1"/>
      </xdr:nvSpPr>
      <xdr:spPr>
        <a:xfrm>
          <a:off x="8815430" y="3676616"/>
          <a:ext cx="731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E2FC6A-ECCF-4A7E-BB2D-3D3CB40B1E7E}" type="TxLink">
            <a:rPr lang="en-US" sz="1800" b="0" i="1" u="none" strike="noStrike">
              <a:solidFill>
                <a:schemeClr val="bg1"/>
              </a:solidFill>
              <a:latin typeface="Aptos Narrow"/>
              <a:ea typeface="+mn-ea"/>
              <a:cs typeface="+mn-cs"/>
            </a:rPr>
            <a:pPr marL="0" indent="0" algn="l"/>
            <a:t>25%</a:t>
          </a:fld>
          <a:endParaRPr lang="ru-RU" sz="1800" b="0" i="1" u="none" strike="noStrike">
            <a:solidFill>
              <a:schemeClr val="bg1"/>
            </a:solidFill>
            <a:latin typeface="Aptos Narrow"/>
            <a:ea typeface="+mn-ea"/>
            <a:cs typeface="+mn-cs"/>
          </a:endParaRPr>
        </a:p>
      </xdr:txBody>
    </xdr:sp>
    <xdr:clientData/>
  </xdr:twoCellAnchor>
  <xdr:twoCellAnchor>
    <xdr:from>
      <xdr:col>14</xdr:col>
      <xdr:colOff>300604</xdr:colOff>
      <xdr:row>22</xdr:row>
      <xdr:rowOff>13144</xdr:rowOff>
    </xdr:from>
    <xdr:to>
      <xdr:col>15</xdr:col>
      <xdr:colOff>423922</xdr:colOff>
      <xdr:row>23</xdr:row>
      <xdr:rowOff>105702</xdr:rowOff>
    </xdr:to>
    <xdr:sp macro="" textlink="Processing!G80">
      <xdr:nvSpPr>
        <xdr:cNvPr id="4184" name="TextBox 4183">
          <a:extLst>
            <a:ext uri="{FF2B5EF4-FFF2-40B4-BE49-F238E27FC236}">
              <a16:creationId xmlns:a16="http://schemas.microsoft.com/office/drawing/2014/main" id="{00000000-0008-0000-0300-000058100000}"/>
            </a:ext>
          </a:extLst>
        </xdr:cNvPr>
        <xdr:cNvSpPr txBox="1"/>
      </xdr:nvSpPr>
      <xdr:spPr>
        <a:xfrm>
          <a:off x="8815430" y="4011896"/>
          <a:ext cx="731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53B548-8B0F-4AF6-BCD7-020493CC3B40}" type="TxLink">
            <a:rPr lang="en-US" sz="1800" b="0" i="1" u="none" strike="noStrike">
              <a:solidFill>
                <a:schemeClr val="bg1"/>
              </a:solidFill>
              <a:latin typeface="Aptos Narrow"/>
              <a:ea typeface="+mn-ea"/>
              <a:cs typeface="+mn-cs"/>
            </a:rPr>
            <a:pPr marL="0" indent="0" algn="l"/>
            <a:t>32%</a:t>
          </a:fld>
          <a:endParaRPr lang="ru-RU" sz="1800" b="0" i="1" u="none" strike="noStrike">
            <a:solidFill>
              <a:schemeClr val="bg1"/>
            </a:solidFill>
            <a:latin typeface="Aptos Narrow"/>
            <a:ea typeface="+mn-ea"/>
            <a:cs typeface="+mn-cs"/>
          </a:endParaRPr>
        </a:p>
      </xdr:txBody>
    </xdr:sp>
    <xdr:clientData/>
  </xdr:twoCellAnchor>
  <xdr:twoCellAnchor>
    <xdr:from>
      <xdr:col>15</xdr:col>
      <xdr:colOff>187632</xdr:colOff>
      <xdr:row>16</xdr:row>
      <xdr:rowOff>97873</xdr:rowOff>
    </xdr:from>
    <xdr:to>
      <xdr:col>16</xdr:col>
      <xdr:colOff>585271</xdr:colOff>
      <xdr:row>18</xdr:row>
      <xdr:rowOff>8670</xdr:rowOff>
    </xdr:to>
    <xdr:sp macro="" textlink="Processing!F77">
      <xdr:nvSpPr>
        <xdr:cNvPr id="4185" name="TextBox 4184">
          <a:extLst>
            <a:ext uri="{FF2B5EF4-FFF2-40B4-BE49-F238E27FC236}">
              <a16:creationId xmlns:a16="http://schemas.microsoft.com/office/drawing/2014/main" id="{00000000-0008-0000-0300-000059100000}"/>
            </a:ext>
          </a:extLst>
        </xdr:cNvPr>
        <xdr:cNvSpPr txBox="1"/>
      </xdr:nvSpPr>
      <xdr:spPr>
        <a:xfrm>
          <a:off x="9310660" y="3006056"/>
          <a:ext cx="10058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C536564-0B86-4F26-99DE-CCE2860FD6F6}" type="TxLink">
            <a:rPr lang="en-US" sz="1400" b="0" i="0" u="none" strike="noStrike">
              <a:solidFill>
                <a:srgbClr val="545C8A"/>
              </a:solidFill>
              <a:latin typeface="Aptos Narrow"/>
              <a:ea typeface="+mn-ea"/>
              <a:cs typeface="+mn-cs"/>
            </a:rPr>
            <a:pPr marL="0" indent="0" algn="l"/>
            <a:t> $73 287 </a:t>
          </a:fld>
          <a:endParaRPr lang="ru-RU" sz="1400" b="0" i="0" u="none" strike="noStrike">
            <a:solidFill>
              <a:srgbClr val="545C8A"/>
            </a:solidFill>
            <a:latin typeface="Aptos Narrow"/>
            <a:ea typeface="+mn-ea"/>
            <a:cs typeface="+mn-cs"/>
          </a:endParaRPr>
        </a:p>
      </xdr:txBody>
    </xdr:sp>
    <xdr:clientData/>
  </xdr:twoCellAnchor>
  <xdr:twoCellAnchor>
    <xdr:from>
      <xdr:col>15</xdr:col>
      <xdr:colOff>187632</xdr:colOff>
      <xdr:row>18</xdr:row>
      <xdr:rowOff>69630</xdr:rowOff>
    </xdr:from>
    <xdr:to>
      <xdr:col>16</xdr:col>
      <xdr:colOff>585271</xdr:colOff>
      <xdr:row>19</xdr:row>
      <xdr:rowOff>162188</xdr:rowOff>
    </xdr:to>
    <xdr:sp macro="" textlink="Processing!F78">
      <xdr:nvSpPr>
        <xdr:cNvPr id="4186" name="TextBox 4185">
          <a:extLst>
            <a:ext uri="{FF2B5EF4-FFF2-40B4-BE49-F238E27FC236}">
              <a16:creationId xmlns:a16="http://schemas.microsoft.com/office/drawing/2014/main" id="{00000000-0008-0000-0300-00005A100000}"/>
            </a:ext>
          </a:extLst>
        </xdr:cNvPr>
        <xdr:cNvSpPr txBox="1"/>
      </xdr:nvSpPr>
      <xdr:spPr>
        <a:xfrm>
          <a:off x="9310660" y="3341336"/>
          <a:ext cx="10058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EA58FE9-656C-450F-A81D-B3FE9D63E583}" type="TxLink">
            <a:rPr lang="en-US" sz="1400" b="0" i="0" u="none" strike="noStrike">
              <a:solidFill>
                <a:srgbClr val="545C8A"/>
              </a:solidFill>
              <a:latin typeface="Aptos Narrow"/>
              <a:ea typeface="+mn-ea"/>
              <a:cs typeface="+mn-cs"/>
            </a:rPr>
            <a:pPr marL="0" indent="0" algn="l"/>
            <a:t> $97 010 </a:t>
          </a:fld>
          <a:endParaRPr lang="ru-RU" sz="1400" b="0" i="0" u="none" strike="noStrike">
            <a:solidFill>
              <a:srgbClr val="545C8A"/>
            </a:solidFill>
            <a:latin typeface="Aptos Narrow"/>
            <a:ea typeface="+mn-ea"/>
            <a:cs typeface="+mn-cs"/>
          </a:endParaRPr>
        </a:p>
      </xdr:txBody>
    </xdr:sp>
    <xdr:clientData/>
  </xdr:twoCellAnchor>
  <xdr:twoCellAnchor>
    <xdr:from>
      <xdr:col>15</xdr:col>
      <xdr:colOff>187632</xdr:colOff>
      <xdr:row>20</xdr:row>
      <xdr:rowOff>41387</xdr:rowOff>
    </xdr:from>
    <xdr:to>
      <xdr:col>16</xdr:col>
      <xdr:colOff>585271</xdr:colOff>
      <xdr:row>21</xdr:row>
      <xdr:rowOff>133945</xdr:rowOff>
    </xdr:to>
    <xdr:sp macro="" textlink="Processing!F79">
      <xdr:nvSpPr>
        <xdr:cNvPr id="4187" name="TextBox 4186">
          <a:extLst>
            <a:ext uri="{FF2B5EF4-FFF2-40B4-BE49-F238E27FC236}">
              <a16:creationId xmlns:a16="http://schemas.microsoft.com/office/drawing/2014/main" id="{00000000-0008-0000-0300-00005B100000}"/>
            </a:ext>
          </a:extLst>
        </xdr:cNvPr>
        <xdr:cNvSpPr txBox="1"/>
      </xdr:nvSpPr>
      <xdr:spPr>
        <a:xfrm>
          <a:off x="9310660" y="3676616"/>
          <a:ext cx="10058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816CBA7-1AC9-44FA-BC83-0DC86E6D1D54}" type="TxLink">
            <a:rPr lang="en-US" sz="1400" b="0" i="0" u="none" strike="noStrike">
              <a:solidFill>
                <a:srgbClr val="545C8A"/>
              </a:solidFill>
              <a:latin typeface="Aptos Narrow"/>
              <a:ea typeface="+mn-ea"/>
              <a:cs typeface="+mn-cs"/>
            </a:rPr>
            <a:pPr marL="0" indent="0" algn="l"/>
            <a:t> $100 937 </a:t>
          </a:fld>
          <a:endParaRPr lang="ru-RU" sz="1400" b="0" i="0" u="none" strike="noStrike">
            <a:solidFill>
              <a:srgbClr val="545C8A"/>
            </a:solidFill>
            <a:latin typeface="Aptos Narrow"/>
            <a:ea typeface="+mn-ea"/>
            <a:cs typeface="+mn-cs"/>
          </a:endParaRPr>
        </a:p>
      </xdr:txBody>
    </xdr:sp>
    <xdr:clientData/>
  </xdr:twoCellAnchor>
  <xdr:twoCellAnchor>
    <xdr:from>
      <xdr:col>15</xdr:col>
      <xdr:colOff>187632</xdr:colOff>
      <xdr:row>22</xdr:row>
      <xdr:rowOff>13144</xdr:rowOff>
    </xdr:from>
    <xdr:to>
      <xdr:col>16</xdr:col>
      <xdr:colOff>585271</xdr:colOff>
      <xdr:row>23</xdr:row>
      <xdr:rowOff>105702</xdr:rowOff>
    </xdr:to>
    <xdr:sp macro="" textlink="Processing!F80">
      <xdr:nvSpPr>
        <xdr:cNvPr id="4188" name="TextBox 4187">
          <a:extLst>
            <a:ext uri="{FF2B5EF4-FFF2-40B4-BE49-F238E27FC236}">
              <a16:creationId xmlns:a16="http://schemas.microsoft.com/office/drawing/2014/main" id="{00000000-0008-0000-0300-00005C100000}"/>
            </a:ext>
          </a:extLst>
        </xdr:cNvPr>
        <xdr:cNvSpPr txBox="1"/>
      </xdr:nvSpPr>
      <xdr:spPr>
        <a:xfrm>
          <a:off x="9310660" y="4011896"/>
          <a:ext cx="10058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3668160-11A0-4C53-B6F9-09475C0CB3DA}" type="TxLink">
            <a:rPr lang="en-US" sz="1400" b="0" i="0" u="none" strike="noStrike">
              <a:solidFill>
                <a:srgbClr val="545C8A"/>
              </a:solidFill>
              <a:latin typeface="Aptos Narrow"/>
              <a:ea typeface="+mn-ea"/>
              <a:cs typeface="+mn-cs"/>
            </a:rPr>
            <a:pPr marL="0" indent="0" algn="l"/>
            <a:t> $130 430 </a:t>
          </a:fld>
          <a:endParaRPr lang="ru-RU" sz="1400" b="0" i="0" u="none" strike="noStrike">
            <a:solidFill>
              <a:srgbClr val="545C8A"/>
            </a:solidFill>
            <a:latin typeface="Aptos Narrow"/>
            <a:ea typeface="+mn-ea"/>
            <a:cs typeface="+mn-cs"/>
          </a:endParaRPr>
        </a:p>
      </xdr:txBody>
    </xdr:sp>
    <xdr:clientData/>
  </xdr:twoCellAnchor>
  <xdr:twoCellAnchor>
    <xdr:from>
      <xdr:col>8</xdr:col>
      <xdr:colOff>601210</xdr:colOff>
      <xdr:row>27</xdr:row>
      <xdr:rowOff>48934</xdr:rowOff>
    </xdr:from>
    <xdr:to>
      <xdr:col>16</xdr:col>
      <xdr:colOff>405468</xdr:colOff>
      <xdr:row>35</xdr:row>
      <xdr:rowOff>181062</xdr:rowOff>
    </xdr:to>
    <xdr:sp macro="" textlink="">
      <xdr:nvSpPr>
        <xdr:cNvPr id="4193" name="Rectangle: Rounded Corners 4192">
          <a:extLst>
            <a:ext uri="{FF2B5EF4-FFF2-40B4-BE49-F238E27FC236}">
              <a16:creationId xmlns:a16="http://schemas.microsoft.com/office/drawing/2014/main" id="{00000000-0008-0000-0300-000061100000}"/>
            </a:ext>
          </a:extLst>
        </xdr:cNvPr>
        <xdr:cNvSpPr/>
      </xdr:nvSpPr>
      <xdr:spPr>
        <a:xfrm>
          <a:off x="5466825" y="4956494"/>
          <a:ext cx="4669872" cy="1586219"/>
        </a:xfrm>
        <a:prstGeom prst="roundRect">
          <a:avLst>
            <a:gd name="adj" fmla="val 5375"/>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9</xdr:col>
      <xdr:colOff>13979</xdr:colOff>
      <xdr:row>28</xdr:row>
      <xdr:rowOff>41948</xdr:rowOff>
    </xdr:from>
    <xdr:to>
      <xdr:col>16</xdr:col>
      <xdr:colOff>391486</xdr:colOff>
      <xdr:row>36</xdr:row>
      <xdr:rowOff>13982</xdr:rowOff>
    </xdr:to>
    <xdr:graphicFrame macro="">
      <xdr:nvGraphicFramePr>
        <xdr:cNvPr id="4195" name="Chart 4194">
          <a:extLst>
            <a:ext uri="{FF2B5EF4-FFF2-40B4-BE49-F238E27FC236}">
              <a16:creationId xmlns:a16="http://schemas.microsoft.com/office/drawing/2014/main" id="{00000000-0008-0000-0300-000063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430445</xdr:colOff>
      <xdr:row>27</xdr:row>
      <xdr:rowOff>45350</xdr:rowOff>
    </xdr:from>
    <xdr:to>
      <xdr:col>14</xdr:col>
      <xdr:colOff>559267</xdr:colOff>
      <xdr:row>28</xdr:row>
      <xdr:rowOff>139561</xdr:rowOff>
    </xdr:to>
    <xdr:sp macro="" textlink="Processing!A100">
      <xdr:nvSpPr>
        <xdr:cNvPr id="4096" name="TextBox 4095">
          <a:extLst>
            <a:ext uri="{FF2B5EF4-FFF2-40B4-BE49-F238E27FC236}">
              <a16:creationId xmlns:a16="http://schemas.microsoft.com/office/drawing/2014/main" id="{00000000-0008-0000-0300-000000100000}"/>
            </a:ext>
          </a:extLst>
        </xdr:cNvPr>
        <xdr:cNvSpPr txBox="1"/>
      </xdr:nvSpPr>
      <xdr:spPr>
        <a:xfrm>
          <a:off x="7120665" y="4952910"/>
          <a:ext cx="1953428"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E9AF3B-22FD-41A7-8AB8-8C01B41ABC67}" type="TxLink">
            <a:rPr lang="en-US" sz="1400" b="0" i="1" u="none" strike="noStrike">
              <a:solidFill>
                <a:schemeClr val="bg1"/>
              </a:solidFill>
              <a:latin typeface="Aptos Narrow"/>
              <a:ea typeface="+mn-ea"/>
              <a:cs typeface="+mn-cs"/>
            </a:rPr>
            <a:pPr marL="0" indent="0"/>
            <a:t>Revenue vs Expenses</a:t>
          </a:fld>
          <a:endParaRPr lang="ru-RU" sz="1400" b="0" i="1" u="none" strike="noStrike">
            <a:solidFill>
              <a:schemeClr val="bg1"/>
            </a:solidFill>
            <a:latin typeface="Aptos Narrow"/>
            <a:ea typeface="+mn-ea"/>
            <a:cs typeface="+mn-cs"/>
          </a:endParaRPr>
        </a:p>
      </xdr:txBody>
    </xdr:sp>
    <xdr:clientData/>
  </xdr:twoCellAnchor>
  <xdr:twoCellAnchor>
    <xdr:from>
      <xdr:col>10</xdr:col>
      <xdr:colOff>69575</xdr:colOff>
      <xdr:row>27</xdr:row>
      <xdr:rowOff>37730</xdr:rowOff>
    </xdr:from>
    <xdr:to>
      <xdr:col>11</xdr:col>
      <xdr:colOff>514826</xdr:colOff>
      <xdr:row>28</xdr:row>
      <xdr:rowOff>131941</xdr:rowOff>
    </xdr:to>
    <xdr:sp macro="" textlink="Processing!B113">
      <xdr:nvSpPr>
        <xdr:cNvPr id="4098" name="TextBox 4097">
          <a:extLst>
            <a:ext uri="{FF2B5EF4-FFF2-40B4-BE49-F238E27FC236}">
              <a16:creationId xmlns:a16="http://schemas.microsoft.com/office/drawing/2014/main" id="{00000000-0008-0000-0300-000002100000}"/>
            </a:ext>
          </a:extLst>
        </xdr:cNvPr>
        <xdr:cNvSpPr txBox="1"/>
      </xdr:nvSpPr>
      <xdr:spPr>
        <a:xfrm>
          <a:off x="6151593" y="4945290"/>
          <a:ext cx="1053453"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AE55B3C-9B97-4C83-B39C-96F4F1F7B583}" type="TxLink">
            <a:rPr lang="en-US" sz="1600" b="0" i="1" u="none" strike="noStrike">
              <a:solidFill>
                <a:srgbClr val="545C8A"/>
              </a:solidFill>
              <a:latin typeface="Aptos Narrow"/>
              <a:ea typeface="+mn-ea"/>
              <a:cs typeface="+mn-cs"/>
            </a:rPr>
            <a:pPr marL="0" indent="0" algn="l"/>
            <a:t> $401 665 </a:t>
          </a:fld>
          <a:endParaRPr lang="ru-RU" sz="1600" b="0" i="1" u="none" strike="noStrike">
            <a:solidFill>
              <a:srgbClr val="545C8A"/>
            </a:solidFill>
            <a:latin typeface="Aptos Narrow"/>
            <a:ea typeface="+mn-ea"/>
            <a:cs typeface="+mn-cs"/>
          </a:endParaRPr>
        </a:p>
      </xdr:txBody>
    </xdr:sp>
    <xdr:clientData/>
  </xdr:twoCellAnchor>
  <xdr:twoCellAnchor>
    <xdr:from>
      <xdr:col>14</xdr:col>
      <xdr:colOff>272308</xdr:colOff>
      <xdr:row>27</xdr:row>
      <xdr:rowOff>37730</xdr:rowOff>
    </xdr:from>
    <xdr:to>
      <xdr:col>16</xdr:col>
      <xdr:colOff>109358</xdr:colOff>
      <xdr:row>28</xdr:row>
      <xdr:rowOff>131941</xdr:rowOff>
    </xdr:to>
    <xdr:sp macro="" textlink="Processing!C113">
      <xdr:nvSpPr>
        <xdr:cNvPr id="4197" name="TextBox 4196">
          <a:extLst>
            <a:ext uri="{FF2B5EF4-FFF2-40B4-BE49-F238E27FC236}">
              <a16:creationId xmlns:a16="http://schemas.microsoft.com/office/drawing/2014/main" id="{00000000-0008-0000-0300-000065100000}"/>
            </a:ext>
          </a:extLst>
        </xdr:cNvPr>
        <xdr:cNvSpPr txBox="1"/>
      </xdr:nvSpPr>
      <xdr:spPr>
        <a:xfrm>
          <a:off x="8787134" y="4945290"/>
          <a:ext cx="1053453"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38CC915-554A-4170-9972-4864CD1F3ADB}" type="TxLink">
            <a:rPr lang="en-US" sz="1600" b="0" i="1" u="none" strike="noStrike">
              <a:solidFill>
                <a:srgbClr val="FF3399"/>
              </a:solidFill>
              <a:latin typeface="Aptos Narrow"/>
              <a:ea typeface="+mn-ea"/>
              <a:cs typeface="+mn-cs"/>
            </a:rPr>
            <a:pPr marL="0" indent="0" algn="l"/>
            <a:t> $257 497 </a:t>
          </a:fld>
          <a:endParaRPr lang="ru-RU" sz="1600" b="0" i="1" u="none" strike="noStrike">
            <a:solidFill>
              <a:srgbClr val="FF3399"/>
            </a:solidFill>
            <a:latin typeface="Aptos Narrow"/>
            <a:ea typeface="+mn-ea"/>
            <a:cs typeface="+mn-cs"/>
          </a:endParaRPr>
        </a:p>
      </xdr:txBody>
    </xdr:sp>
    <xdr:clientData/>
  </xdr:twoCellAnchor>
  <xdr:twoCellAnchor>
    <xdr:from>
      <xdr:col>16</xdr:col>
      <xdr:colOff>559265</xdr:colOff>
      <xdr:row>5</xdr:row>
      <xdr:rowOff>144396</xdr:rowOff>
    </xdr:from>
    <xdr:to>
      <xdr:col>20</xdr:col>
      <xdr:colOff>62917</xdr:colOff>
      <xdr:row>7</xdr:row>
      <xdr:rowOff>83891</xdr:rowOff>
    </xdr:to>
    <xdr:sp macro="" textlink="[1]Processing!A60">
      <xdr:nvSpPr>
        <xdr:cNvPr id="4201" name="TextBox 4200">
          <a:extLst>
            <a:ext uri="{FF2B5EF4-FFF2-40B4-BE49-F238E27FC236}">
              <a16:creationId xmlns:a16="http://schemas.microsoft.com/office/drawing/2014/main" id="{00000000-0008-0000-0300-000069100000}"/>
            </a:ext>
          </a:extLst>
        </xdr:cNvPr>
        <xdr:cNvSpPr txBox="1"/>
      </xdr:nvSpPr>
      <xdr:spPr>
        <a:xfrm>
          <a:off x="10290494" y="1053203"/>
          <a:ext cx="1936460" cy="303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D05BC90-EB36-471A-A0CB-029BF6D556DC}" type="TxLink">
            <a:rPr lang="en-US" sz="1400" b="0" i="1" u="none" strike="noStrike">
              <a:solidFill>
                <a:schemeClr val="bg1"/>
              </a:solidFill>
              <a:latin typeface="Aptos Narrow"/>
              <a:ea typeface="+mn-ea"/>
              <a:cs typeface="+mn-cs"/>
            </a:rPr>
            <a:pPr marL="0" indent="0"/>
            <a:t>Top Cities by Revenue</a:t>
          </a:fld>
          <a:endParaRPr lang="en-US" sz="1400" b="0" i="1" u="none" strike="noStrike">
            <a:solidFill>
              <a:schemeClr val="bg1"/>
            </a:solidFill>
            <a:latin typeface="Aptos Narrow"/>
            <a:ea typeface="+mn-ea"/>
            <a:cs typeface="+mn-cs"/>
          </a:endParaRPr>
        </a:p>
      </xdr:txBody>
    </xdr:sp>
    <xdr:clientData/>
  </xdr:twoCellAnchor>
  <xdr:twoCellAnchor>
    <xdr:from>
      <xdr:col>16</xdr:col>
      <xdr:colOff>607662</xdr:colOff>
      <xdr:row>16</xdr:row>
      <xdr:rowOff>139170</xdr:rowOff>
    </xdr:from>
    <xdr:to>
      <xdr:col>20</xdr:col>
      <xdr:colOff>579387</xdr:colOff>
      <xdr:row>17</xdr:row>
      <xdr:rowOff>124670</xdr:rowOff>
    </xdr:to>
    <xdr:sp macro="" textlink="">
      <xdr:nvSpPr>
        <xdr:cNvPr id="4203" name="Rectangle: Rounded Corners 4202">
          <a:extLst>
            <a:ext uri="{FF2B5EF4-FFF2-40B4-BE49-F238E27FC236}">
              <a16:creationId xmlns:a16="http://schemas.microsoft.com/office/drawing/2014/main" id="{00000000-0008-0000-0300-00006B100000}"/>
            </a:ext>
          </a:extLst>
        </xdr:cNvPr>
        <xdr:cNvSpPr/>
      </xdr:nvSpPr>
      <xdr:spPr>
        <a:xfrm>
          <a:off x="10338891" y="3047353"/>
          <a:ext cx="2404533" cy="167262"/>
        </a:xfrm>
        <a:prstGeom prst="roundRect">
          <a:avLst>
            <a:gd name="adj" fmla="val 30000"/>
          </a:avLst>
        </a:prstGeom>
        <a:solidFill>
          <a:srgbClr val="2C39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607662</xdr:colOff>
      <xdr:row>14</xdr:row>
      <xdr:rowOff>134756</xdr:rowOff>
    </xdr:from>
    <xdr:to>
      <xdr:col>20</xdr:col>
      <xdr:colOff>579387</xdr:colOff>
      <xdr:row>15</xdr:row>
      <xdr:rowOff>120257</xdr:rowOff>
    </xdr:to>
    <xdr:sp macro="" textlink="">
      <xdr:nvSpPr>
        <xdr:cNvPr id="4204" name="Rectangle: Rounded Corners 4203">
          <a:extLst>
            <a:ext uri="{FF2B5EF4-FFF2-40B4-BE49-F238E27FC236}">
              <a16:creationId xmlns:a16="http://schemas.microsoft.com/office/drawing/2014/main" id="{00000000-0008-0000-0300-00006C100000}"/>
            </a:ext>
          </a:extLst>
        </xdr:cNvPr>
        <xdr:cNvSpPr/>
      </xdr:nvSpPr>
      <xdr:spPr>
        <a:xfrm>
          <a:off x="10338891" y="2679417"/>
          <a:ext cx="2404533" cy="167262"/>
        </a:xfrm>
        <a:prstGeom prst="roundRect">
          <a:avLst>
            <a:gd name="adj" fmla="val 30000"/>
          </a:avLst>
        </a:prstGeom>
        <a:solidFill>
          <a:srgbClr val="2C39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607662</xdr:colOff>
      <xdr:row>12</xdr:row>
      <xdr:rowOff>130343</xdr:rowOff>
    </xdr:from>
    <xdr:to>
      <xdr:col>20</xdr:col>
      <xdr:colOff>579387</xdr:colOff>
      <xdr:row>13</xdr:row>
      <xdr:rowOff>115844</xdr:rowOff>
    </xdr:to>
    <xdr:sp macro="" textlink="">
      <xdr:nvSpPr>
        <xdr:cNvPr id="4205" name="Rectangle: Rounded Corners 4204">
          <a:extLst>
            <a:ext uri="{FF2B5EF4-FFF2-40B4-BE49-F238E27FC236}">
              <a16:creationId xmlns:a16="http://schemas.microsoft.com/office/drawing/2014/main" id="{00000000-0008-0000-0300-00006D100000}"/>
            </a:ext>
          </a:extLst>
        </xdr:cNvPr>
        <xdr:cNvSpPr/>
      </xdr:nvSpPr>
      <xdr:spPr>
        <a:xfrm>
          <a:off x="10338891" y="2311481"/>
          <a:ext cx="2404533" cy="167262"/>
        </a:xfrm>
        <a:prstGeom prst="roundRect">
          <a:avLst>
            <a:gd name="adj" fmla="val 30000"/>
          </a:avLst>
        </a:prstGeom>
        <a:solidFill>
          <a:srgbClr val="2C39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607662</xdr:colOff>
      <xdr:row>10</xdr:row>
      <xdr:rowOff>125930</xdr:rowOff>
    </xdr:from>
    <xdr:to>
      <xdr:col>20</xdr:col>
      <xdr:colOff>579387</xdr:colOff>
      <xdr:row>11</xdr:row>
      <xdr:rowOff>111431</xdr:rowOff>
    </xdr:to>
    <xdr:sp macro="" textlink="">
      <xdr:nvSpPr>
        <xdr:cNvPr id="4206" name="Rectangle: Rounded Corners 4205">
          <a:extLst>
            <a:ext uri="{FF2B5EF4-FFF2-40B4-BE49-F238E27FC236}">
              <a16:creationId xmlns:a16="http://schemas.microsoft.com/office/drawing/2014/main" id="{00000000-0008-0000-0300-00006E100000}"/>
            </a:ext>
          </a:extLst>
        </xdr:cNvPr>
        <xdr:cNvSpPr/>
      </xdr:nvSpPr>
      <xdr:spPr>
        <a:xfrm>
          <a:off x="10338891" y="1943545"/>
          <a:ext cx="2404533" cy="167262"/>
        </a:xfrm>
        <a:prstGeom prst="roundRect">
          <a:avLst>
            <a:gd name="adj" fmla="val 30000"/>
          </a:avLst>
        </a:prstGeom>
        <a:solidFill>
          <a:srgbClr val="2C39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607662</xdr:colOff>
      <xdr:row>8</xdr:row>
      <xdr:rowOff>121517</xdr:rowOff>
    </xdr:from>
    <xdr:to>
      <xdr:col>20</xdr:col>
      <xdr:colOff>579387</xdr:colOff>
      <xdr:row>9</xdr:row>
      <xdr:rowOff>107018</xdr:rowOff>
    </xdr:to>
    <xdr:sp macro="" textlink="">
      <xdr:nvSpPr>
        <xdr:cNvPr id="4207" name="Rectangle: Rounded Corners 4206">
          <a:extLst>
            <a:ext uri="{FF2B5EF4-FFF2-40B4-BE49-F238E27FC236}">
              <a16:creationId xmlns:a16="http://schemas.microsoft.com/office/drawing/2014/main" id="{00000000-0008-0000-0300-00006F100000}"/>
            </a:ext>
          </a:extLst>
        </xdr:cNvPr>
        <xdr:cNvSpPr/>
      </xdr:nvSpPr>
      <xdr:spPr>
        <a:xfrm>
          <a:off x="10338891" y="1575609"/>
          <a:ext cx="2404533" cy="167262"/>
        </a:xfrm>
        <a:prstGeom prst="roundRect">
          <a:avLst>
            <a:gd name="adj" fmla="val 30000"/>
          </a:avLst>
        </a:prstGeom>
        <a:solidFill>
          <a:srgbClr val="2C39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538153</xdr:colOff>
      <xdr:row>7</xdr:row>
      <xdr:rowOff>120909</xdr:rowOff>
    </xdr:from>
    <xdr:to>
      <xdr:col>19</xdr:col>
      <xdr:colOff>163663</xdr:colOff>
      <xdr:row>8</xdr:row>
      <xdr:rowOff>112266</xdr:rowOff>
    </xdr:to>
    <xdr:sp macro="" textlink="Processing!A118">
      <xdr:nvSpPr>
        <xdr:cNvPr id="4208" name="TextBox 4207">
          <a:extLst>
            <a:ext uri="{FF2B5EF4-FFF2-40B4-BE49-F238E27FC236}">
              <a16:creationId xmlns:a16="http://schemas.microsoft.com/office/drawing/2014/main" id="{00000000-0008-0000-0300-000070100000}"/>
            </a:ext>
          </a:extLst>
        </xdr:cNvPr>
        <xdr:cNvSpPr txBox="1"/>
      </xdr:nvSpPr>
      <xdr:spPr>
        <a:xfrm>
          <a:off x="10269382" y="1393239"/>
          <a:ext cx="1450116" cy="1731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4CE814F-21CC-4811-BD89-3848B4FF975D}" type="TxLink">
            <a:rPr lang="en-US" sz="1100" b="0" i="0" u="none" strike="noStrike">
              <a:solidFill>
                <a:srgbClr val="C59DF5"/>
              </a:solidFill>
              <a:latin typeface="Aptos Narrow"/>
              <a:ea typeface="+mn-ea"/>
              <a:cs typeface="+mn-cs"/>
            </a:rPr>
            <a:pPr marL="0" indent="0" algn="l"/>
            <a:t>Accessories</a:t>
          </a:fld>
          <a:endParaRPr lang="ru-RU" sz="1100" b="0" i="0" u="none" strike="noStrike">
            <a:solidFill>
              <a:srgbClr val="C59DF5"/>
            </a:solidFill>
            <a:latin typeface="Aptos Narrow"/>
            <a:ea typeface="+mn-ea"/>
            <a:cs typeface="+mn-cs"/>
          </a:endParaRPr>
        </a:p>
      </xdr:txBody>
    </xdr:sp>
    <xdr:clientData/>
  </xdr:twoCellAnchor>
  <xdr:twoCellAnchor>
    <xdr:from>
      <xdr:col>16</xdr:col>
      <xdr:colOff>538153</xdr:colOff>
      <xdr:row>9</xdr:row>
      <xdr:rowOff>136671</xdr:rowOff>
    </xdr:from>
    <xdr:to>
      <xdr:col>19</xdr:col>
      <xdr:colOff>464653</xdr:colOff>
      <xdr:row>10</xdr:row>
      <xdr:rowOff>121925</xdr:rowOff>
    </xdr:to>
    <xdr:sp macro="" textlink="Processing!A119">
      <xdr:nvSpPr>
        <xdr:cNvPr id="4209" name="TextBox 4208">
          <a:extLst>
            <a:ext uri="{FF2B5EF4-FFF2-40B4-BE49-F238E27FC236}">
              <a16:creationId xmlns:a16="http://schemas.microsoft.com/office/drawing/2014/main" id="{00000000-0008-0000-0300-000071100000}"/>
            </a:ext>
          </a:extLst>
        </xdr:cNvPr>
        <xdr:cNvSpPr txBox="1"/>
      </xdr:nvSpPr>
      <xdr:spPr>
        <a:xfrm>
          <a:off x="10269382" y="1772524"/>
          <a:ext cx="1751106" cy="167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9D55D88-DD0E-4632-A0D1-9EE29114027B}" type="TxLink">
            <a:rPr lang="en-US" sz="1100" b="0" i="0" u="none" strike="noStrike">
              <a:solidFill>
                <a:srgbClr val="C59DF5"/>
              </a:solidFill>
              <a:latin typeface="Aptos Narrow"/>
              <a:ea typeface="+mn-ea"/>
              <a:cs typeface="+mn-cs"/>
            </a:rPr>
            <a:pPr marL="0" indent="0" algn="l"/>
            <a:t>Appliances</a:t>
          </a:fld>
          <a:endParaRPr lang="ru-RU" sz="1100" b="0" i="0" u="none" strike="noStrike">
            <a:solidFill>
              <a:srgbClr val="C59DF5"/>
            </a:solidFill>
            <a:latin typeface="Aptos Narrow"/>
            <a:ea typeface="+mn-ea"/>
            <a:cs typeface="+mn-cs"/>
          </a:endParaRPr>
        </a:p>
      </xdr:txBody>
    </xdr:sp>
    <xdr:clientData/>
  </xdr:twoCellAnchor>
  <xdr:twoCellAnchor>
    <xdr:from>
      <xdr:col>16</xdr:col>
      <xdr:colOff>538153</xdr:colOff>
      <xdr:row>11</xdr:row>
      <xdr:rowOff>146330</xdr:rowOff>
    </xdr:from>
    <xdr:to>
      <xdr:col>19</xdr:col>
      <xdr:colOff>251293</xdr:colOff>
      <xdr:row>12</xdr:row>
      <xdr:rowOff>137512</xdr:rowOff>
    </xdr:to>
    <xdr:sp macro="" textlink="Processing!A120">
      <xdr:nvSpPr>
        <xdr:cNvPr id="4210" name="TextBox 4209">
          <a:extLst>
            <a:ext uri="{FF2B5EF4-FFF2-40B4-BE49-F238E27FC236}">
              <a16:creationId xmlns:a16="http://schemas.microsoft.com/office/drawing/2014/main" id="{00000000-0008-0000-0300-000072100000}"/>
            </a:ext>
          </a:extLst>
        </xdr:cNvPr>
        <xdr:cNvSpPr txBox="1"/>
      </xdr:nvSpPr>
      <xdr:spPr>
        <a:xfrm>
          <a:off x="10269382" y="2145706"/>
          <a:ext cx="1537746" cy="172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1A526CE-5A72-4FC7-AB15-5F03762D7E38}" type="TxLink">
            <a:rPr lang="en-US" sz="1100" b="0" i="0" u="none" strike="noStrike">
              <a:solidFill>
                <a:srgbClr val="C59DF5"/>
              </a:solidFill>
              <a:latin typeface="Aptos Narrow"/>
              <a:ea typeface="+mn-ea"/>
              <a:cs typeface="+mn-cs"/>
            </a:rPr>
            <a:pPr marL="0" indent="0" algn="l"/>
            <a:t>Furniture</a:t>
          </a:fld>
          <a:endParaRPr lang="ru-RU" sz="1100" b="0" i="0" u="none" strike="noStrike">
            <a:solidFill>
              <a:srgbClr val="C59DF5"/>
            </a:solidFill>
            <a:latin typeface="Aptos Narrow"/>
            <a:ea typeface="+mn-ea"/>
            <a:cs typeface="+mn-cs"/>
          </a:endParaRPr>
        </a:p>
      </xdr:txBody>
    </xdr:sp>
    <xdr:clientData/>
  </xdr:twoCellAnchor>
  <xdr:twoCellAnchor>
    <xdr:from>
      <xdr:col>16</xdr:col>
      <xdr:colOff>538153</xdr:colOff>
      <xdr:row>13</xdr:row>
      <xdr:rowOff>161917</xdr:rowOff>
    </xdr:from>
    <xdr:to>
      <xdr:col>19</xdr:col>
      <xdr:colOff>403693</xdr:colOff>
      <xdr:row>14</xdr:row>
      <xdr:rowOff>115413</xdr:rowOff>
    </xdr:to>
    <xdr:sp macro="" textlink="Processing!A121">
      <xdr:nvSpPr>
        <xdr:cNvPr id="4211" name="TextBox 4210">
          <a:extLst>
            <a:ext uri="{FF2B5EF4-FFF2-40B4-BE49-F238E27FC236}">
              <a16:creationId xmlns:a16="http://schemas.microsoft.com/office/drawing/2014/main" id="{00000000-0008-0000-0300-000073100000}"/>
            </a:ext>
          </a:extLst>
        </xdr:cNvPr>
        <xdr:cNvSpPr txBox="1"/>
      </xdr:nvSpPr>
      <xdr:spPr>
        <a:xfrm>
          <a:off x="10269382" y="2524816"/>
          <a:ext cx="1690146" cy="135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E66CA60-3DBB-4319-9A50-97D0836ADAEB}" type="TxLink">
            <a:rPr lang="en-US" sz="1100" b="0" i="0" u="none" strike="noStrike">
              <a:solidFill>
                <a:srgbClr val="C59DF5"/>
              </a:solidFill>
              <a:latin typeface="Aptos Narrow"/>
              <a:ea typeface="+mn-ea"/>
              <a:cs typeface="+mn-cs"/>
            </a:rPr>
            <a:pPr marL="0" indent="0" algn="l"/>
            <a:t>Office Supplies</a:t>
          </a:fld>
          <a:endParaRPr lang="ru-RU" sz="1100" b="0" i="0" u="none" strike="noStrike">
            <a:solidFill>
              <a:srgbClr val="C59DF5"/>
            </a:solidFill>
            <a:latin typeface="Aptos Narrow"/>
            <a:ea typeface="+mn-ea"/>
            <a:cs typeface="+mn-cs"/>
          </a:endParaRPr>
        </a:p>
      </xdr:txBody>
    </xdr:sp>
    <xdr:clientData/>
  </xdr:twoCellAnchor>
  <xdr:twoCellAnchor>
    <xdr:from>
      <xdr:col>16</xdr:col>
      <xdr:colOff>538153</xdr:colOff>
      <xdr:row>15</xdr:row>
      <xdr:rowOff>139817</xdr:rowOff>
    </xdr:from>
    <xdr:to>
      <xdr:col>19</xdr:col>
      <xdr:colOff>277963</xdr:colOff>
      <xdr:row>16</xdr:row>
      <xdr:rowOff>125321</xdr:rowOff>
    </xdr:to>
    <xdr:sp macro="" textlink="Processing!A122">
      <xdr:nvSpPr>
        <xdr:cNvPr id="4212" name="TextBox 4211">
          <a:extLst>
            <a:ext uri="{FF2B5EF4-FFF2-40B4-BE49-F238E27FC236}">
              <a16:creationId xmlns:a16="http://schemas.microsoft.com/office/drawing/2014/main" id="{00000000-0008-0000-0300-000074100000}"/>
            </a:ext>
          </a:extLst>
        </xdr:cNvPr>
        <xdr:cNvSpPr txBox="1"/>
      </xdr:nvSpPr>
      <xdr:spPr>
        <a:xfrm>
          <a:off x="10269382" y="2866239"/>
          <a:ext cx="1564416" cy="167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F46B691-CAE6-4EAE-857C-861EF61DFFF4}" type="TxLink">
            <a:rPr lang="en-US" sz="1100" b="0" i="0" u="none" strike="noStrike">
              <a:solidFill>
                <a:srgbClr val="C59DF5"/>
              </a:solidFill>
              <a:latin typeface="Aptos Narrow"/>
              <a:ea typeface="+mn-ea"/>
              <a:cs typeface="+mn-cs"/>
            </a:rPr>
            <a:pPr marL="0" indent="0" algn="l"/>
            <a:t>Technology</a:t>
          </a:fld>
          <a:endParaRPr lang="ru-RU" sz="1100" b="0" i="0" u="none" strike="noStrike">
            <a:solidFill>
              <a:srgbClr val="C59DF5"/>
            </a:solidFill>
            <a:latin typeface="Aptos Narrow"/>
            <a:ea typeface="+mn-ea"/>
            <a:cs typeface="+mn-cs"/>
          </a:endParaRPr>
        </a:p>
      </xdr:txBody>
    </xdr:sp>
    <xdr:clientData/>
  </xdr:twoCellAnchor>
  <xdr:twoCellAnchor>
    <xdr:from>
      <xdr:col>19</xdr:col>
      <xdr:colOff>220554</xdr:colOff>
      <xdr:row>7</xdr:row>
      <xdr:rowOff>122796</xdr:rowOff>
    </xdr:from>
    <xdr:to>
      <xdr:col>21</xdr:col>
      <xdr:colOff>1865</xdr:colOff>
      <xdr:row>8</xdr:row>
      <xdr:rowOff>98283</xdr:rowOff>
    </xdr:to>
    <xdr:sp macro="" textlink="Processing!B118">
      <xdr:nvSpPr>
        <xdr:cNvPr id="4213" name="TextBox 4212">
          <a:extLst>
            <a:ext uri="{FF2B5EF4-FFF2-40B4-BE49-F238E27FC236}">
              <a16:creationId xmlns:a16="http://schemas.microsoft.com/office/drawing/2014/main" id="{00000000-0008-0000-0300-000075100000}"/>
            </a:ext>
          </a:extLst>
        </xdr:cNvPr>
        <xdr:cNvSpPr txBox="1"/>
      </xdr:nvSpPr>
      <xdr:spPr>
        <a:xfrm>
          <a:off x="11776389" y="1395126"/>
          <a:ext cx="997715" cy="157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15E3D27-FFA8-4D33-87C0-7AFC1C5C479F}" type="TxLink">
            <a:rPr lang="en-US" sz="1200" b="0" i="0" u="none" strike="noStrike">
              <a:solidFill>
                <a:schemeClr val="bg1"/>
              </a:solidFill>
              <a:latin typeface="Aptos Narrow"/>
              <a:ea typeface="+mn-ea"/>
              <a:cs typeface="+mn-cs"/>
            </a:rPr>
            <a:pPr marL="0" indent="0" algn="r"/>
            <a:t> $89 199 </a:t>
          </a:fld>
          <a:endParaRPr lang="ru-RU" sz="1200" b="0" i="0" u="none" strike="noStrike">
            <a:solidFill>
              <a:schemeClr val="bg1"/>
            </a:solidFill>
            <a:latin typeface="Aptos Narrow"/>
            <a:ea typeface="+mn-ea"/>
            <a:cs typeface="+mn-cs"/>
          </a:endParaRPr>
        </a:p>
      </xdr:txBody>
    </xdr:sp>
    <xdr:clientData/>
  </xdr:twoCellAnchor>
  <xdr:twoCellAnchor>
    <xdr:from>
      <xdr:col>19</xdr:col>
      <xdr:colOff>220554</xdr:colOff>
      <xdr:row>9</xdr:row>
      <xdr:rowOff>128128</xdr:rowOff>
    </xdr:from>
    <xdr:to>
      <xdr:col>21</xdr:col>
      <xdr:colOff>1865</xdr:colOff>
      <xdr:row>10</xdr:row>
      <xdr:rowOff>108187</xdr:rowOff>
    </xdr:to>
    <xdr:sp macro="" textlink="Processing!B119">
      <xdr:nvSpPr>
        <xdr:cNvPr id="4214" name="TextBox 4213">
          <a:extLst>
            <a:ext uri="{FF2B5EF4-FFF2-40B4-BE49-F238E27FC236}">
              <a16:creationId xmlns:a16="http://schemas.microsoft.com/office/drawing/2014/main" id="{00000000-0008-0000-0300-000076100000}"/>
            </a:ext>
          </a:extLst>
        </xdr:cNvPr>
        <xdr:cNvSpPr txBox="1"/>
      </xdr:nvSpPr>
      <xdr:spPr>
        <a:xfrm>
          <a:off x="11776389" y="1763981"/>
          <a:ext cx="997715" cy="16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0A6B936-014B-4248-B4A3-0B61DED6B4B9}" type="TxLink">
            <a:rPr lang="en-US" sz="1200" b="0" i="0" u="none" strike="noStrike">
              <a:solidFill>
                <a:schemeClr val="bg1"/>
              </a:solidFill>
              <a:latin typeface="Aptos Narrow"/>
              <a:ea typeface="+mn-ea"/>
              <a:cs typeface="+mn-cs"/>
            </a:rPr>
            <a:pPr marL="0" indent="0" algn="r"/>
            <a:t> $55 715 </a:t>
          </a:fld>
          <a:endParaRPr lang="ru-RU" sz="1200" b="0" i="0" u="none" strike="noStrike">
            <a:solidFill>
              <a:schemeClr val="bg1"/>
            </a:solidFill>
            <a:latin typeface="Aptos Narrow"/>
            <a:ea typeface="+mn-ea"/>
            <a:cs typeface="+mn-cs"/>
          </a:endParaRPr>
        </a:p>
      </xdr:txBody>
    </xdr:sp>
    <xdr:clientData/>
  </xdr:twoCellAnchor>
  <xdr:twoCellAnchor>
    <xdr:from>
      <xdr:col>19</xdr:col>
      <xdr:colOff>220554</xdr:colOff>
      <xdr:row>11</xdr:row>
      <xdr:rowOff>138032</xdr:rowOff>
    </xdr:from>
    <xdr:to>
      <xdr:col>21</xdr:col>
      <xdr:colOff>1865</xdr:colOff>
      <xdr:row>12</xdr:row>
      <xdr:rowOff>118091</xdr:rowOff>
    </xdr:to>
    <xdr:sp macro="" textlink="Processing!B120">
      <xdr:nvSpPr>
        <xdr:cNvPr id="4215" name="TextBox 4214">
          <a:extLst>
            <a:ext uri="{FF2B5EF4-FFF2-40B4-BE49-F238E27FC236}">
              <a16:creationId xmlns:a16="http://schemas.microsoft.com/office/drawing/2014/main" id="{00000000-0008-0000-0300-000077100000}"/>
            </a:ext>
          </a:extLst>
        </xdr:cNvPr>
        <xdr:cNvSpPr txBox="1"/>
      </xdr:nvSpPr>
      <xdr:spPr>
        <a:xfrm>
          <a:off x="11776389" y="2137408"/>
          <a:ext cx="997715" cy="16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2AE82DB-91B3-4404-AE8B-FBF22F7C0A85}" type="TxLink">
            <a:rPr lang="en-US" sz="1200" b="0" i="0" u="none" strike="noStrike">
              <a:solidFill>
                <a:schemeClr val="bg1"/>
              </a:solidFill>
              <a:latin typeface="Aptos Narrow"/>
              <a:ea typeface="+mn-ea"/>
              <a:cs typeface="+mn-cs"/>
            </a:rPr>
            <a:pPr marL="0" indent="0" algn="r"/>
            <a:t> $64 076 </a:t>
          </a:fld>
          <a:endParaRPr lang="ru-RU" sz="1200" b="0" i="0" u="none" strike="noStrike">
            <a:solidFill>
              <a:schemeClr val="bg1"/>
            </a:solidFill>
            <a:latin typeface="Aptos Narrow"/>
            <a:ea typeface="+mn-ea"/>
            <a:cs typeface="+mn-cs"/>
          </a:endParaRPr>
        </a:p>
      </xdr:txBody>
    </xdr:sp>
    <xdr:clientData/>
  </xdr:twoCellAnchor>
  <xdr:twoCellAnchor>
    <xdr:from>
      <xdr:col>19</xdr:col>
      <xdr:colOff>220554</xdr:colOff>
      <xdr:row>13</xdr:row>
      <xdr:rowOff>147936</xdr:rowOff>
    </xdr:from>
    <xdr:to>
      <xdr:col>21</xdr:col>
      <xdr:colOff>1865</xdr:colOff>
      <xdr:row>14</xdr:row>
      <xdr:rowOff>127995</xdr:rowOff>
    </xdr:to>
    <xdr:sp macro="" textlink="Processing!B121">
      <xdr:nvSpPr>
        <xdr:cNvPr id="4216" name="TextBox 4215">
          <a:extLst>
            <a:ext uri="{FF2B5EF4-FFF2-40B4-BE49-F238E27FC236}">
              <a16:creationId xmlns:a16="http://schemas.microsoft.com/office/drawing/2014/main" id="{00000000-0008-0000-0300-000078100000}"/>
            </a:ext>
          </a:extLst>
        </xdr:cNvPr>
        <xdr:cNvSpPr txBox="1"/>
      </xdr:nvSpPr>
      <xdr:spPr>
        <a:xfrm>
          <a:off x="11776389" y="2510835"/>
          <a:ext cx="997715" cy="16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47533F-1442-49BD-B4FE-36FE4108037A}" type="TxLink">
            <a:rPr lang="en-US" sz="1200" b="0" i="0" u="none" strike="noStrike">
              <a:solidFill>
                <a:schemeClr val="bg1"/>
              </a:solidFill>
              <a:latin typeface="Aptos Narrow"/>
              <a:ea typeface="+mn-ea"/>
              <a:cs typeface="+mn-cs"/>
            </a:rPr>
            <a:pPr marL="0" indent="0" algn="r"/>
            <a:t> $88 251 </a:t>
          </a:fld>
          <a:endParaRPr lang="ru-RU" sz="1200" b="0" i="0" u="none" strike="noStrike">
            <a:solidFill>
              <a:schemeClr val="bg1"/>
            </a:solidFill>
            <a:latin typeface="Aptos Narrow"/>
            <a:ea typeface="+mn-ea"/>
            <a:cs typeface="+mn-cs"/>
          </a:endParaRPr>
        </a:p>
      </xdr:txBody>
    </xdr:sp>
    <xdr:clientData/>
  </xdr:twoCellAnchor>
  <xdr:twoCellAnchor>
    <xdr:from>
      <xdr:col>19</xdr:col>
      <xdr:colOff>220554</xdr:colOff>
      <xdr:row>15</xdr:row>
      <xdr:rowOff>157841</xdr:rowOff>
    </xdr:from>
    <xdr:to>
      <xdr:col>21</xdr:col>
      <xdr:colOff>1865</xdr:colOff>
      <xdr:row>16</xdr:row>
      <xdr:rowOff>137901</xdr:rowOff>
    </xdr:to>
    <xdr:sp macro="" textlink="Processing!B122">
      <xdr:nvSpPr>
        <xdr:cNvPr id="4217" name="TextBox 4216">
          <a:extLst>
            <a:ext uri="{FF2B5EF4-FFF2-40B4-BE49-F238E27FC236}">
              <a16:creationId xmlns:a16="http://schemas.microsoft.com/office/drawing/2014/main" id="{00000000-0008-0000-0300-000079100000}"/>
            </a:ext>
          </a:extLst>
        </xdr:cNvPr>
        <xdr:cNvSpPr txBox="1"/>
      </xdr:nvSpPr>
      <xdr:spPr>
        <a:xfrm>
          <a:off x="11776389" y="2884263"/>
          <a:ext cx="997715" cy="161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1089552-6DCA-48C7-87DA-63F847D7522B}" type="TxLink">
            <a:rPr lang="en-US" sz="1200" b="0" i="0" u="none" strike="noStrike">
              <a:solidFill>
                <a:schemeClr val="bg1"/>
              </a:solidFill>
              <a:latin typeface="Aptos Narrow"/>
              <a:ea typeface="+mn-ea"/>
              <a:cs typeface="+mn-cs"/>
            </a:rPr>
            <a:pPr marL="0" indent="0" algn="r"/>
            <a:t> $104 425 </a:t>
          </a:fld>
          <a:endParaRPr lang="ru-RU" sz="1200" b="0" i="0" u="none" strike="noStrike">
            <a:solidFill>
              <a:schemeClr val="bg1"/>
            </a:solidFill>
            <a:latin typeface="Aptos Narrow"/>
            <a:ea typeface="+mn-ea"/>
            <a:cs typeface="+mn-cs"/>
          </a:endParaRPr>
        </a:p>
      </xdr:txBody>
    </xdr:sp>
    <xdr:clientData/>
  </xdr:twoCellAnchor>
  <xdr:twoCellAnchor>
    <xdr:from>
      <xdr:col>16</xdr:col>
      <xdr:colOff>475376</xdr:colOff>
      <xdr:row>7</xdr:row>
      <xdr:rowOff>76899</xdr:rowOff>
    </xdr:from>
    <xdr:to>
      <xdr:col>21</xdr:col>
      <xdr:colOff>31262</xdr:colOff>
      <xdr:row>18</xdr:row>
      <xdr:rowOff>67141</xdr:rowOff>
    </xdr:to>
    <xdr:graphicFrame macro="">
      <xdr:nvGraphicFramePr>
        <xdr:cNvPr id="4222" name="Chart 4221">
          <a:extLst>
            <a:ext uri="{FF2B5EF4-FFF2-40B4-BE49-F238E27FC236}">
              <a16:creationId xmlns:a16="http://schemas.microsoft.com/office/drawing/2014/main" id="{00000000-0008-0000-0300-00007E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250126</xdr:colOff>
      <xdr:row>26</xdr:row>
      <xdr:rowOff>153797</xdr:rowOff>
    </xdr:from>
    <xdr:to>
      <xdr:col>8</xdr:col>
      <xdr:colOff>459431</xdr:colOff>
      <xdr:row>36</xdr:row>
      <xdr:rowOff>5479</xdr:rowOff>
    </xdr:to>
    <xdr:graphicFrame macro="">
      <xdr:nvGraphicFramePr>
        <xdr:cNvPr id="4223" name="Chart 4222">
          <a:extLst>
            <a:ext uri="{FF2B5EF4-FFF2-40B4-BE49-F238E27FC236}">
              <a16:creationId xmlns:a16="http://schemas.microsoft.com/office/drawing/2014/main" id="{00000000-0008-0000-0300-00007F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25</xdr:row>
      <xdr:rowOff>143222</xdr:rowOff>
    </xdr:from>
    <xdr:to>
      <xdr:col>4</xdr:col>
      <xdr:colOff>195743</xdr:colOff>
      <xdr:row>27</xdr:row>
      <xdr:rowOff>55671</xdr:rowOff>
    </xdr:to>
    <xdr:sp macro="" textlink="Processing!A126">
      <xdr:nvSpPr>
        <xdr:cNvPr id="4224" name="TextBox 4223">
          <a:extLst>
            <a:ext uri="{FF2B5EF4-FFF2-40B4-BE49-F238E27FC236}">
              <a16:creationId xmlns:a16="http://schemas.microsoft.com/office/drawing/2014/main" id="{00000000-0008-0000-0300-000080100000}"/>
            </a:ext>
          </a:extLst>
        </xdr:cNvPr>
        <xdr:cNvSpPr txBox="1"/>
      </xdr:nvSpPr>
      <xdr:spPr>
        <a:xfrm>
          <a:off x="0" y="4687259"/>
          <a:ext cx="2628550"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C19325C-6076-4C92-BC6C-788AA3D1EBEC}" type="TxLink">
            <a:rPr lang="en-US" sz="1400" b="0" i="1" u="none" strike="noStrike">
              <a:solidFill>
                <a:schemeClr val="bg1"/>
              </a:solidFill>
              <a:latin typeface="Aptos Narrow"/>
              <a:ea typeface="+mn-ea"/>
              <a:cs typeface="+mn-cs"/>
            </a:rPr>
            <a:pPr marL="0" indent="0" algn="ctr"/>
            <a:t>Monthly QTY Performance</a:t>
          </a:fld>
          <a:endParaRPr lang="ru-RU" sz="1400" b="0" i="1" u="none" strike="noStrike">
            <a:solidFill>
              <a:schemeClr val="bg1"/>
            </a:solidFill>
            <a:latin typeface="Aptos Narrow"/>
            <a:ea typeface="+mn-ea"/>
            <a:cs typeface="+mn-cs"/>
          </a:endParaRPr>
        </a:p>
      </xdr:txBody>
    </xdr:sp>
    <xdr:clientData/>
  </xdr:twoCellAnchor>
  <xdr:twoCellAnchor>
    <xdr:from>
      <xdr:col>7</xdr:col>
      <xdr:colOff>377172</xdr:colOff>
      <xdr:row>25</xdr:row>
      <xdr:rowOff>128611</xdr:rowOff>
    </xdr:from>
    <xdr:to>
      <xdr:col>9</xdr:col>
      <xdr:colOff>214221</xdr:colOff>
      <xdr:row>27</xdr:row>
      <xdr:rowOff>41060</xdr:rowOff>
    </xdr:to>
    <xdr:sp macro="" textlink="Processing!C139">
      <xdr:nvSpPr>
        <xdr:cNvPr id="4225" name="TextBox 4224">
          <a:extLst>
            <a:ext uri="{FF2B5EF4-FFF2-40B4-BE49-F238E27FC236}">
              <a16:creationId xmlns:a16="http://schemas.microsoft.com/office/drawing/2014/main" id="{00000000-0008-0000-0300-000081100000}"/>
            </a:ext>
          </a:extLst>
        </xdr:cNvPr>
        <xdr:cNvSpPr txBox="1"/>
      </xdr:nvSpPr>
      <xdr:spPr>
        <a:xfrm>
          <a:off x="4634585" y="4672648"/>
          <a:ext cx="1053453"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FDD649F-AAAA-476D-AA85-7BA03CB8F26B}" type="TxLink">
            <a:rPr lang="en-US" sz="1600" b="0" i="1" u="none" strike="noStrike">
              <a:solidFill>
                <a:schemeClr val="bg1"/>
              </a:solidFill>
              <a:latin typeface="Aptos Narrow"/>
              <a:ea typeface="+mn-ea"/>
              <a:cs typeface="+mn-cs"/>
            </a:rPr>
            <a:pPr marL="0" indent="0" algn="l"/>
            <a:t> 2 103 </a:t>
          </a:fld>
          <a:endParaRPr lang="ru-RU" sz="1600" b="0" i="1" u="none" strike="noStrike">
            <a:solidFill>
              <a:schemeClr val="bg1"/>
            </a:solidFill>
            <a:latin typeface="Aptos Narrow"/>
            <a:ea typeface="+mn-ea"/>
            <a:cs typeface="+mn-cs"/>
          </a:endParaRPr>
        </a:p>
      </xdr:txBody>
    </xdr:sp>
    <xdr:clientData/>
  </xdr:twoCellAnchor>
  <xdr:twoCellAnchor>
    <xdr:from>
      <xdr:col>6</xdr:col>
      <xdr:colOff>10522</xdr:colOff>
      <xdr:row>1</xdr:row>
      <xdr:rowOff>128737</xdr:rowOff>
    </xdr:from>
    <xdr:to>
      <xdr:col>8</xdr:col>
      <xdr:colOff>227238</xdr:colOff>
      <xdr:row>4</xdr:row>
      <xdr:rowOff>79801</xdr:rowOff>
    </xdr:to>
    <xdr:sp macro="" textlink="">
      <xdr:nvSpPr>
        <xdr:cNvPr id="14" name="Rectangle 13">
          <a:hlinkClick xmlns:r="http://schemas.openxmlformats.org/officeDocument/2006/relationships" r:id="rId8"/>
          <a:extLst>
            <a:ext uri="{FF2B5EF4-FFF2-40B4-BE49-F238E27FC236}">
              <a16:creationId xmlns:a16="http://schemas.microsoft.com/office/drawing/2014/main" id="{29B5F9D2-FE6A-444B-9337-EEE4B0503B0C}"/>
            </a:ext>
          </a:extLst>
        </xdr:cNvPr>
        <xdr:cNvSpPr/>
      </xdr:nvSpPr>
      <xdr:spPr>
        <a:xfrm>
          <a:off x="3659733" y="310498"/>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332099</xdr:colOff>
      <xdr:row>1</xdr:row>
      <xdr:rowOff>128737</xdr:rowOff>
    </xdr:from>
    <xdr:to>
      <xdr:col>10</xdr:col>
      <xdr:colOff>548816</xdr:colOff>
      <xdr:row>4</xdr:row>
      <xdr:rowOff>79801</xdr:rowOff>
    </xdr:to>
    <xdr:sp macro="" textlink="">
      <xdr:nvSpPr>
        <xdr:cNvPr id="16" name="Rectangle 15">
          <a:hlinkClick xmlns:r="http://schemas.openxmlformats.org/officeDocument/2006/relationships" r:id="rId9"/>
          <a:extLst>
            <a:ext uri="{FF2B5EF4-FFF2-40B4-BE49-F238E27FC236}">
              <a16:creationId xmlns:a16="http://schemas.microsoft.com/office/drawing/2014/main" id="{5CEA6699-8389-4E78-AE2B-7A9F3E9F627A}"/>
            </a:ext>
          </a:extLst>
        </xdr:cNvPr>
        <xdr:cNvSpPr/>
      </xdr:nvSpPr>
      <xdr:spPr>
        <a:xfrm>
          <a:off x="5197714" y="310498"/>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3531</xdr:colOff>
      <xdr:row>1</xdr:row>
      <xdr:rowOff>128737</xdr:rowOff>
    </xdr:from>
    <xdr:to>
      <xdr:col>13</xdr:col>
      <xdr:colOff>220247</xdr:colOff>
      <xdr:row>4</xdr:row>
      <xdr:rowOff>79801</xdr:rowOff>
    </xdr:to>
    <xdr:sp macro="" textlink="">
      <xdr:nvSpPr>
        <xdr:cNvPr id="20" name="Rectangle 19">
          <a:hlinkClick xmlns:r="http://schemas.openxmlformats.org/officeDocument/2006/relationships" r:id="rId10"/>
          <a:extLst>
            <a:ext uri="{FF2B5EF4-FFF2-40B4-BE49-F238E27FC236}">
              <a16:creationId xmlns:a16="http://schemas.microsoft.com/office/drawing/2014/main" id="{35DA552C-68F0-403E-9DEF-F92BD8932361}"/>
            </a:ext>
          </a:extLst>
        </xdr:cNvPr>
        <xdr:cNvSpPr/>
      </xdr:nvSpPr>
      <xdr:spPr>
        <a:xfrm>
          <a:off x="6693751" y="310498"/>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297145</xdr:colOff>
      <xdr:row>1</xdr:row>
      <xdr:rowOff>128737</xdr:rowOff>
    </xdr:from>
    <xdr:to>
      <xdr:col>15</xdr:col>
      <xdr:colOff>513861</xdr:colOff>
      <xdr:row>4</xdr:row>
      <xdr:rowOff>79801</xdr:rowOff>
    </xdr:to>
    <xdr:sp macro="" textlink="">
      <xdr:nvSpPr>
        <xdr:cNvPr id="59" name="Rectangle 58">
          <a:hlinkClick xmlns:r="http://schemas.openxmlformats.org/officeDocument/2006/relationships" r:id="rId11"/>
          <a:extLst>
            <a:ext uri="{FF2B5EF4-FFF2-40B4-BE49-F238E27FC236}">
              <a16:creationId xmlns:a16="http://schemas.microsoft.com/office/drawing/2014/main" id="{0D4D17F4-7A4A-40BD-9CAE-F01133D49AEA}"/>
            </a:ext>
          </a:extLst>
        </xdr:cNvPr>
        <xdr:cNvSpPr/>
      </xdr:nvSpPr>
      <xdr:spPr>
        <a:xfrm>
          <a:off x="8203769" y="310498"/>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583768</xdr:colOff>
      <xdr:row>1</xdr:row>
      <xdr:rowOff>128737</xdr:rowOff>
    </xdr:from>
    <xdr:to>
      <xdr:col>18</xdr:col>
      <xdr:colOff>192283</xdr:colOff>
      <xdr:row>4</xdr:row>
      <xdr:rowOff>79801</xdr:rowOff>
    </xdr:to>
    <xdr:sp macro="" textlink="">
      <xdr:nvSpPr>
        <xdr:cNvPr id="62" name="Rectangle 61">
          <a:hlinkClick xmlns:r="http://schemas.openxmlformats.org/officeDocument/2006/relationships" r:id="rId12"/>
          <a:extLst>
            <a:ext uri="{FF2B5EF4-FFF2-40B4-BE49-F238E27FC236}">
              <a16:creationId xmlns:a16="http://schemas.microsoft.com/office/drawing/2014/main" id="{6FC230D1-3339-47C5-ABC3-CEFAEA3F7A1B}"/>
            </a:ext>
          </a:extLst>
        </xdr:cNvPr>
        <xdr:cNvSpPr/>
      </xdr:nvSpPr>
      <xdr:spPr>
        <a:xfrm>
          <a:off x="9706796" y="310498"/>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0</xdr:colOff>
      <xdr:row>37</xdr:row>
      <xdr:rowOff>91440</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0" y="0"/>
          <a:ext cx="12192000" cy="6858000"/>
        </a:xfrm>
        <a:prstGeom prst="rect">
          <a:avLst/>
        </a:prstGeom>
        <a:solidFill>
          <a:srgbClr val="04040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0</xdr:colOff>
      <xdr:row>0</xdr:row>
      <xdr:rowOff>0</xdr:rowOff>
    </xdr:from>
    <xdr:to>
      <xdr:col>23</xdr:col>
      <xdr:colOff>304800</xdr:colOff>
      <xdr:row>40</xdr:row>
      <xdr:rowOff>21365</xdr:rowOff>
    </xdr:to>
    <xdr:sp macro="" textlink="">
      <xdr:nvSpPr>
        <xdr:cNvPr id="3" name="Rectangle 2">
          <a:extLst>
            <a:ext uri="{FF2B5EF4-FFF2-40B4-BE49-F238E27FC236}">
              <a16:creationId xmlns:a16="http://schemas.microsoft.com/office/drawing/2014/main" id="{00000000-0008-0000-0400-000003000000}"/>
            </a:ext>
          </a:extLst>
        </xdr:cNvPr>
        <xdr:cNvSpPr/>
      </xdr:nvSpPr>
      <xdr:spPr>
        <a:xfrm>
          <a:off x="0" y="0"/>
          <a:ext cx="14325600" cy="7336565"/>
        </a:xfrm>
        <a:prstGeom prst="rect">
          <a:avLst/>
        </a:prstGeom>
        <a:gradFill flip="none" rotWithShape="1">
          <a:gsLst>
            <a:gs pos="5000">
              <a:srgbClr val="5B208C"/>
            </a:gs>
            <a:gs pos="38000">
              <a:srgbClr val="04040F"/>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122105</xdr:colOff>
      <xdr:row>1</xdr:row>
      <xdr:rowOff>53793</xdr:rowOff>
    </xdr:from>
    <xdr:to>
      <xdr:col>21</xdr:col>
      <xdr:colOff>235010</xdr:colOff>
      <xdr:row>36</xdr:row>
      <xdr:rowOff>111853</xdr:rowOff>
    </xdr:to>
    <xdr:sp macro="" textlink="">
      <xdr:nvSpPr>
        <xdr:cNvPr id="4" name="Rectangle: Rounded Corners 3">
          <a:extLst>
            <a:ext uri="{FF2B5EF4-FFF2-40B4-BE49-F238E27FC236}">
              <a16:creationId xmlns:a16="http://schemas.microsoft.com/office/drawing/2014/main" id="{00000000-0008-0000-0400-000004000000}"/>
            </a:ext>
          </a:extLst>
        </xdr:cNvPr>
        <xdr:cNvSpPr/>
      </xdr:nvSpPr>
      <xdr:spPr>
        <a:xfrm>
          <a:off x="122105" y="236673"/>
          <a:ext cx="12914505" cy="6458860"/>
        </a:xfrm>
        <a:prstGeom prst="roundRect">
          <a:avLst>
            <a:gd name="adj" fmla="val 5451"/>
          </a:avLst>
        </a:prstGeom>
        <a:gradFill flip="none" rotWithShape="1">
          <a:gsLst>
            <a:gs pos="0">
              <a:srgbClr val="1F0B2F"/>
            </a:gs>
            <a:gs pos="95000">
              <a:srgbClr val="171723"/>
            </a:gs>
          </a:gsLst>
          <a:lin ang="2700000" scaled="0"/>
          <a:tileRect/>
        </a:gradFill>
        <a:ln w="12700">
          <a:gradFill>
            <a:gsLst>
              <a:gs pos="0">
                <a:schemeClr val="bg1"/>
              </a:gs>
              <a:gs pos="74000">
                <a:srgbClr val="AB48D6"/>
              </a:gs>
              <a:gs pos="43000">
                <a:srgbClr val="9D4EDD"/>
              </a:gs>
            </a:gsLst>
            <a:lin ang="2700000" scaled="0"/>
          </a:gradFill>
        </a:ln>
        <a:effectLst>
          <a:outerShdw blurRad="508000" dist="190500" dir="16200000" algn="br" rotWithShape="0">
            <a:srgbClr val="AB48D6">
              <a:alpha val="7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150338</xdr:colOff>
      <xdr:row>1</xdr:row>
      <xdr:rowOff>71692</xdr:rowOff>
    </xdr:from>
    <xdr:to>
      <xdr:col>21</xdr:col>
      <xdr:colOff>220766</xdr:colOff>
      <xdr:row>5</xdr:row>
      <xdr:rowOff>41563</xdr:rowOff>
    </xdr:to>
    <xdr:sp macro="" textlink="">
      <xdr:nvSpPr>
        <xdr:cNvPr id="5" name="Freeform: Shape 4">
          <a:extLst>
            <a:ext uri="{FF2B5EF4-FFF2-40B4-BE49-F238E27FC236}">
              <a16:creationId xmlns:a16="http://schemas.microsoft.com/office/drawing/2014/main" id="{00000000-0008-0000-0400-000005000000}"/>
            </a:ext>
          </a:extLst>
        </xdr:cNvPr>
        <xdr:cNvSpPr/>
      </xdr:nvSpPr>
      <xdr:spPr>
        <a:xfrm>
          <a:off x="150338" y="254572"/>
          <a:ext cx="12872028" cy="701391"/>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gradFill flip="none" rotWithShape="1">
          <a:gsLst>
            <a:gs pos="0">
              <a:srgbClr val="212743"/>
            </a:gs>
            <a:gs pos="100000">
              <a:srgbClr val="202644"/>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55696</xdr:colOff>
      <xdr:row>2</xdr:row>
      <xdr:rowOff>23539</xdr:rowOff>
    </xdr:from>
    <xdr:to>
      <xdr:col>8</xdr:col>
      <xdr:colOff>208096</xdr:colOff>
      <xdr:row>4</xdr:row>
      <xdr:rowOff>35255</xdr:rowOff>
    </xdr:to>
    <xdr:sp macro="" textlink="">
      <xdr:nvSpPr>
        <xdr:cNvPr id="6" name="Rectangle: Rounded Corners 5">
          <a:extLst>
            <a:ext uri="{FF2B5EF4-FFF2-40B4-BE49-F238E27FC236}">
              <a16:creationId xmlns:a16="http://schemas.microsoft.com/office/drawing/2014/main" id="{00000000-0008-0000-0400-000006000000}"/>
            </a:ext>
          </a:extLst>
        </xdr:cNvPr>
        <xdr:cNvSpPr/>
      </xdr:nvSpPr>
      <xdr:spPr>
        <a:xfrm>
          <a:off x="3713296"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Dashboard</a:t>
          </a:r>
          <a:endParaRPr lang="ru-RU" sz="1100" b="0" kern="1200">
            <a:solidFill>
              <a:schemeClr val="accent1">
                <a:lumMod val="20000"/>
                <a:lumOff val="80000"/>
              </a:schemeClr>
            </a:solidFill>
            <a:effectLst/>
            <a:latin typeface="+mn-lt"/>
            <a:ea typeface="+mn-ea"/>
            <a:cs typeface="+mn-cs"/>
          </a:endParaRPr>
        </a:p>
      </xdr:txBody>
    </xdr:sp>
    <xdr:clientData/>
  </xdr:twoCellAnchor>
  <xdr:twoCellAnchor>
    <xdr:from>
      <xdr:col>11</xdr:col>
      <xdr:colOff>36128</xdr:colOff>
      <xdr:row>2</xdr:row>
      <xdr:rowOff>23539</xdr:rowOff>
    </xdr:from>
    <xdr:to>
      <xdr:col>13</xdr:col>
      <xdr:colOff>188528</xdr:colOff>
      <xdr:row>4</xdr:row>
      <xdr:rowOff>35255</xdr:rowOff>
    </xdr:to>
    <xdr:sp macro="" textlink="">
      <xdr:nvSpPr>
        <xdr:cNvPr id="7" name="Rectangle: Rounded Corners 6">
          <a:extLst>
            <a:ext uri="{FF2B5EF4-FFF2-40B4-BE49-F238E27FC236}">
              <a16:creationId xmlns:a16="http://schemas.microsoft.com/office/drawing/2014/main" id="{00000000-0008-0000-0400-000007000000}"/>
            </a:ext>
          </a:extLst>
        </xdr:cNvPr>
        <xdr:cNvSpPr/>
      </xdr:nvSpPr>
      <xdr:spPr>
        <a:xfrm>
          <a:off x="6741728" y="389299"/>
          <a:ext cx="1371600" cy="377476"/>
        </a:xfrm>
        <a:prstGeom prst="roundRect">
          <a:avLst>
            <a:gd name="adj" fmla="val 49653"/>
          </a:avLst>
        </a:prstGeom>
        <a:solidFill>
          <a:srgbClr val="0000FF">
            <a:alpha val="32000"/>
          </a:srgbClr>
        </a:solidFill>
        <a:ln w="6350">
          <a:solidFill>
            <a:schemeClr val="bg1"/>
          </a:solidFill>
        </a:ln>
        <a:effectLst>
          <a:glow rad="101600">
            <a:srgbClr val="00B0F0">
              <a:alpha val="10000"/>
            </a:srgbClr>
          </a:glow>
          <a:outerShdw blurRad="127000" sx="105000" sy="105000" algn="tl" rotWithShape="0">
            <a:srgbClr val="0000FF">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400" kern="1200">
              <a:solidFill>
                <a:schemeClr val="bg1"/>
              </a:solidFill>
              <a:latin typeface="+mn-lt"/>
              <a:ea typeface="+mn-ea"/>
              <a:cs typeface="+mn-cs"/>
            </a:rPr>
            <a:t>Operations</a:t>
          </a:r>
          <a:endParaRPr lang="ru-RU" sz="1400" kern="1200">
            <a:solidFill>
              <a:schemeClr val="bg1"/>
            </a:solidFill>
            <a:latin typeface="+mn-lt"/>
            <a:ea typeface="+mn-ea"/>
            <a:cs typeface="+mn-cs"/>
          </a:endParaRPr>
        </a:p>
      </xdr:txBody>
    </xdr:sp>
    <xdr:clientData/>
  </xdr:twoCellAnchor>
  <xdr:twoCellAnchor>
    <xdr:from>
      <xdr:col>8</xdr:col>
      <xdr:colOff>350712</xdr:colOff>
      <xdr:row>2</xdr:row>
      <xdr:rowOff>23539</xdr:rowOff>
    </xdr:from>
    <xdr:to>
      <xdr:col>10</xdr:col>
      <xdr:colOff>503112</xdr:colOff>
      <xdr:row>4</xdr:row>
      <xdr:rowOff>35255</xdr:rowOff>
    </xdr:to>
    <xdr:sp macro="" textlink="">
      <xdr:nvSpPr>
        <xdr:cNvPr id="8" name="Rectangle: Rounded Corners 7">
          <a:extLst>
            <a:ext uri="{FF2B5EF4-FFF2-40B4-BE49-F238E27FC236}">
              <a16:creationId xmlns:a16="http://schemas.microsoft.com/office/drawing/2014/main" id="{00000000-0008-0000-0400-000008000000}"/>
            </a:ext>
          </a:extLst>
        </xdr:cNvPr>
        <xdr:cNvSpPr/>
      </xdr:nvSpPr>
      <xdr:spPr>
        <a:xfrm>
          <a:off x="5227512"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Profitability </a:t>
          </a:r>
          <a:endParaRPr lang="ru-RU" sz="1100" b="0" kern="1200">
            <a:solidFill>
              <a:schemeClr val="accent1">
                <a:lumMod val="20000"/>
                <a:lumOff val="80000"/>
              </a:schemeClr>
            </a:solidFill>
            <a:effectLst/>
            <a:latin typeface="+mn-lt"/>
            <a:ea typeface="+mn-ea"/>
            <a:cs typeface="+mn-cs"/>
          </a:endParaRPr>
        </a:p>
      </xdr:txBody>
    </xdr:sp>
    <xdr:clientData/>
  </xdr:twoCellAnchor>
  <xdr:twoCellAnchor>
    <xdr:from>
      <xdr:col>13</xdr:col>
      <xdr:colOff>331144</xdr:colOff>
      <xdr:row>2</xdr:row>
      <xdr:rowOff>23539</xdr:rowOff>
    </xdr:from>
    <xdr:to>
      <xdr:col>15</xdr:col>
      <xdr:colOff>483544</xdr:colOff>
      <xdr:row>4</xdr:row>
      <xdr:rowOff>35255</xdr:rowOff>
    </xdr:to>
    <xdr:sp macro="" textlink="">
      <xdr:nvSpPr>
        <xdr:cNvPr id="9" name="Rectangle: Rounded Corners 8">
          <a:extLst>
            <a:ext uri="{FF2B5EF4-FFF2-40B4-BE49-F238E27FC236}">
              <a16:creationId xmlns:a16="http://schemas.microsoft.com/office/drawing/2014/main" id="{00000000-0008-0000-0400-000009000000}"/>
            </a:ext>
          </a:extLst>
        </xdr:cNvPr>
        <xdr:cNvSpPr/>
      </xdr:nvSpPr>
      <xdr:spPr>
        <a:xfrm>
          <a:off x="8255944"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Dataset</a:t>
          </a:r>
          <a:endParaRPr lang="ru-RU" sz="1050" b="0" kern="1200">
            <a:solidFill>
              <a:schemeClr val="accent1">
                <a:lumMod val="20000"/>
                <a:lumOff val="80000"/>
              </a:schemeClr>
            </a:solidFill>
            <a:latin typeface="+mn-lt"/>
            <a:ea typeface="+mn-ea"/>
            <a:cs typeface="+mn-cs"/>
          </a:endParaRPr>
        </a:p>
      </xdr:txBody>
    </xdr:sp>
    <xdr:clientData/>
  </xdr:twoCellAnchor>
  <xdr:twoCellAnchor>
    <xdr:from>
      <xdr:col>0</xdr:col>
      <xdr:colOff>186584</xdr:colOff>
      <xdr:row>2</xdr:row>
      <xdr:rowOff>45335</xdr:rowOff>
    </xdr:from>
    <xdr:to>
      <xdr:col>5</xdr:col>
      <xdr:colOff>491835</xdr:colOff>
      <xdr:row>4</xdr:row>
      <xdr:rowOff>41170</xdr:rowOff>
    </xdr:to>
    <xdr:sp macro="" textlink="">
      <xdr:nvSpPr>
        <xdr:cNvPr id="10" name="TextBox 158">
          <a:extLst>
            <a:ext uri="{FF2B5EF4-FFF2-40B4-BE49-F238E27FC236}">
              <a16:creationId xmlns:a16="http://schemas.microsoft.com/office/drawing/2014/main" id="{00000000-0008-0000-0400-00000A000000}"/>
            </a:ext>
          </a:extLst>
        </xdr:cNvPr>
        <xdr:cNvSpPr txBox="1"/>
      </xdr:nvSpPr>
      <xdr:spPr>
        <a:xfrm>
          <a:off x="186584" y="411095"/>
          <a:ext cx="3353251" cy="361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l" defTabSz="914400" rtl="0" eaLnBrk="1" latinLnBrk="0" hangingPunct="1"/>
          <a:r>
            <a:rPr lang="en-US" sz="2400" b="1" kern="1200">
              <a:solidFill>
                <a:srgbClr val="BFFAFF"/>
              </a:solidFill>
              <a:latin typeface="Anek Tamil ExtraBold" pitchFamily="2" charset="0"/>
              <a:ea typeface="+mn-ea"/>
              <a:cs typeface="Anek Tamil ExtraBold" pitchFamily="2" charset="0"/>
            </a:rPr>
            <a:t>MarketPulse </a:t>
          </a:r>
          <a:r>
            <a:rPr lang="en-US" sz="2400" b="1" kern="1200">
              <a:solidFill>
                <a:schemeClr val="bg1"/>
              </a:solidFill>
              <a:latin typeface="Anek Tamil ExtraBold" pitchFamily="2" charset="0"/>
              <a:ea typeface="+mn-ea"/>
              <a:cs typeface="Anek Tamil ExtraBold" pitchFamily="2" charset="0"/>
            </a:rPr>
            <a:t>Analytics</a:t>
          </a:r>
        </a:p>
      </xdr:txBody>
    </xdr:sp>
    <xdr:clientData/>
  </xdr:twoCellAnchor>
  <xdr:twoCellAnchor>
    <xdr:from>
      <xdr:col>16</xdr:col>
      <xdr:colOff>16560</xdr:colOff>
      <xdr:row>2</xdr:row>
      <xdr:rowOff>23539</xdr:rowOff>
    </xdr:from>
    <xdr:to>
      <xdr:col>18</xdr:col>
      <xdr:colOff>168960</xdr:colOff>
      <xdr:row>4</xdr:row>
      <xdr:rowOff>35255</xdr:rowOff>
    </xdr:to>
    <xdr:sp macro="" textlink="">
      <xdr:nvSpPr>
        <xdr:cNvPr id="11" name="Rectangle: Rounded Corners 10">
          <a:extLst>
            <a:ext uri="{FF2B5EF4-FFF2-40B4-BE49-F238E27FC236}">
              <a16:creationId xmlns:a16="http://schemas.microsoft.com/office/drawing/2014/main" id="{00000000-0008-0000-0400-00000B000000}"/>
            </a:ext>
          </a:extLst>
        </xdr:cNvPr>
        <xdr:cNvSpPr/>
      </xdr:nvSpPr>
      <xdr:spPr>
        <a:xfrm>
          <a:off x="9770160"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Insights</a:t>
          </a:r>
          <a:endParaRPr lang="ru-RU" sz="1050" b="0" kern="1200">
            <a:solidFill>
              <a:schemeClr val="accent1">
                <a:lumMod val="20000"/>
                <a:lumOff val="80000"/>
              </a:schemeClr>
            </a:solidFill>
            <a:latin typeface="+mn-lt"/>
            <a:ea typeface="+mn-ea"/>
            <a:cs typeface="+mn-cs"/>
          </a:endParaRPr>
        </a:p>
      </xdr:txBody>
    </xdr:sp>
    <xdr:clientData/>
  </xdr:twoCellAnchor>
  <xdr:twoCellAnchor>
    <xdr:from>
      <xdr:col>0</xdr:col>
      <xdr:colOff>250124</xdr:colOff>
      <xdr:row>12</xdr:row>
      <xdr:rowOff>9703</xdr:rowOff>
    </xdr:from>
    <xdr:to>
      <xdr:col>8</xdr:col>
      <xdr:colOff>454402</xdr:colOff>
      <xdr:row>24</xdr:row>
      <xdr:rowOff>166255</xdr:rowOff>
    </xdr:to>
    <xdr:sp macro="" textlink="">
      <xdr:nvSpPr>
        <xdr:cNvPr id="12" name="Rectangle: Rounded Corners 11">
          <a:extLst>
            <a:ext uri="{FF2B5EF4-FFF2-40B4-BE49-F238E27FC236}">
              <a16:creationId xmlns:a16="http://schemas.microsoft.com/office/drawing/2014/main" id="{00000000-0008-0000-0400-00000C000000}"/>
            </a:ext>
          </a:extLst>
        </xdr:cNvPr>
        <xdr:cNvSpPr/>
      </xdr:nvSpPr>
      <xdr:spPr>
        <a:xfrm>
          <a:off x="250124" y="2204263"/>
          <a:ext cx="5081078" cy="2351112"/>
        </a:xfrm>
        <a:prstGeom prst="roundRect">
          <a:avLst>
            <a:gd name="adj" fmla="val 9134"/>
          </a:avLst>
        </a:prstGeom>
        <a:gradFill flip="none" rotWithShape="1">
          <a:gsLst>
            <a:gs pos="75000">
              <a:srgbClr val="080614"/>
            </a:gs>
            <a:gs pos="0">
              <a:srgbClr val="140C2E"/>
            </a:gs>
          </a:gsLst>
          <a:lin ang="5400000" scaled="0"/>
          <a:tileRect/>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200" kern="1200">
            <a:solidFill>
              <a:schemeClr val="bg1"/>
            </a:solidFill>
            <a:latin typeface="Aptos Narrow"/>
            <a:ea typeface="+mn-ea"/>
            <a:cs typeface="+mn-cs"/>
          </a:endParaRPr>
        </a:p>
      </xdr:txBody>
    </xdr:sp>
    <xdr:clientData/>
  </xdr:twoCellAnchor>
  <xdr:twoCellAnchor>
    <xdr:from>
      <xdr:col>0</xdr:col>
      <xdr:colOff>277090</xdr:colOff>
      <xdr:row>4</xdr:row>
      <xdr:rowOff>20782</xdr:rowOff>
    </xdr:from>
    <xdr:to>
      <xdr:col>3</xdr:col>
      <xdr:colOff>200891</xdr:colOff>
      <xdr:row>4</xdr:row>
      <xdr:rowOff>20782</xdr:rowOff>
    </xdr:to>
    <xdr:cxnSp macro="">
      <xdr:nvCxnSpPr>
        <xdr:cNvPr id="13" name="Straight Connector 12">
          <a:extLst>
            <a:ext uri="{FF2B5EF4-FFF2-40B4-BE49-F238E27FC236}">
              <a16:creationId xmlns:a16="http://schemas.microsoft.com/office/drawing/2014/main" id="{00000000-0008-0000-0400-00000D000000}"/>
            </a:ext>
          </a:extLst>
        </xdr:cNvPr>
        <xdr:cNvCxnSpPr/>
      </xdr:nvCxnSpPr>
      <xdr:spPr>
        <a:xfrm flipH="1">
          <a:off x="277090" y="752302"/>
          <a:ext cx="1752601" cy="0"/>
        </a:xfrm>
        <a:prstGeom prst="line">
          <a:avLst/>
        </a:prstGeom>
        <a:ln>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566257</xdr:colOff>
      <xdr:row>12</xdr:row>
      <xdr:rowOff>9703</xdr:rowOff>
    </xdr:from>
    <xdr:to>
      <xdr:col>16</xdr:col>
      <xdr:colOff>405468</xdr:colOff>
      <xdr:row>26</xdr:row>
      <xdr:rowOff>118845</xdr:rowOff>
    </xdr:to>
    <xdr:sp macro="" textlink="">
      <xdr:nvSpPr>
        <xdr:cNvPr id="14" name="Rectangle: Rounded Corners 13">
          <a:extLst>
            <a:ext uri="{FF2B5EF4-FFF2-40B4-BE49-F238E27FC236}">
              <a16:creationId xmlns:a16="http://schemas.microsoft.com/office/drawing/2014/main" id="{00000000-0008-0000-0400-00000E000000}"/>
            </a:ext>
          </a:extLst>
        </xdr:cNvPr>
        <xdr:cNvSpPr/>
      </xdr:nvSpPr>
      <xdr:spPr>
        <a:xfrm>
          <a:off x="5443057" y="2204263"/>
          <a:ext cx="4716011" cy="2669462"/>
        </a:xfrm>
        <a:prstGeom prst="roundRect">
          <a:avLst>
            <a:gd name="adj" fmla="val 5375"/>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0</xdr:col>
      <xdr:colOff>250126</xdr:colOff>
      <xdr:row>25</xdr:row>
      <xdr:rowOff>132826</xdr:rowOff>
    </xdr:from>
    <xdr:to>
      <xdr:col>8</xdr:col>
      <xdr:colOff>447413</xdr:colOff>
      <xdr:row>35</xdr:row>
      <xdr:rowOff>181064</xdr:rowOff>
    </xdr:to>
    <xdr:sp macro="" textlink="">
      <xdr:nvSpPr>
        <xdr:cNvPr id="15" name="Rectangle: Rounded Corners 14">
          <a:extLst>
            <a:ext uri="{FF2B5EF4-FFF2-40B4-BE49-F238E27FC236}">
              <a16:creationId xmlns:a16="http://schemas.microsoft.com/office/drawing/2014/main" id="{00000000-0008-0000-0400-00000F000000}"/>
            </a:ext>
          </a:extLst>
        </xdr:cNvPr>
        <xdr:cNvSpPr/>
      </xdr:nvSpPr>
      <xdr:spPr>
        <a:xfrm>
          <a:off x="250126" y="4704826"/>
          <a:ext cx="5074087" cy="1877038"/>
        </a:xfrm>
        <a:prstGeom prst="roundRect">
          <a:avLst>
            <a:gd name="adj" fmla="val 9134"/>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16</xdr:col>
      <xdr:colOff>538293</xdr:colOff>
      <xdr:row>18</xdr:row>
      <xdr:rowOff>160789</xdr:rowOff>
    </xdr:from>
    <xdr:to>
      <xdr:col>21</xdr:col>
      <xdr:colOff>42728</xdr:colOff>
      <xdr:row>35</xdr:row>
      <xdr:rowOff>181063</xdr:rowOff>
    </xdr:to>
    <xdr:sp macro="" textlink="">
      <xdr:nvSpPr>
        <xdr:cNvPr id="16" name="Rectangle: Rounded Corners 15">
          <a:extLst>
            <a:ext uri="{FF2B5EF4-FFF2-40B4-BE49-F238E27FC236}">
              <a16:creationId xmlns:a16="http://schemas.microsoft.com/office/drawing/2014/main" id="{00000000-0008-0000-0400-000010000000}"/>
            </a:ext>
          </a:extLst>
        </xdr:cNvPr>
        <xdr:cNvSpPr/>
      </xdr:nvSpPr>
      <xdr:spPr>
        <a:xfrm>
          <a:off x="10291893" y="3452629"/>
          <a:ext cx="2552435" cy="3129234"/>
        </a:xfrm>
        <a:prstGeom prst="roundRect">
          <a:avLst>
            <a:gd name="adj" fmla="val 9134"/>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16</xdr:col>
      <xdr:colOff>517320</xdr:colOff>
      <xdr:row>5</xdr:row>
      <xdr:rowOff>130217</xdr:rowOff>
    </xdr:from>
    <xdr:to>
      <xdr:col>21</xdr:col>
      <xdr:colOff>28485</xdr:colOff>
      <xdr:row>18</xdr:row>
      <xdr:rowOff>48936</xdr:rowOff>
    </xdr:to>
    <xdr:sp macro="" textlink="">
      <xdr:nvSpPr>
        <xdr:cNvPr id="17" name="Rectangle: Rounded Corners 16">
          <a:extLst>
            <a:ext uri="{FF2B5EF4-FFF2-40B4-BE49-F238E27FC236}">
              <a16:creationId xmlns:a16="http://schemas.microsoft.com/office/drawing/2014/main" id="{00000000-0008-0000-0400-000011000000}"/>
            </a:ext>
          </a:extLst>
        </xdr:cNvPr>
        <xdr:cNvSpPr/>
      </xdr:nvSpPr>
      <xdr:spPr>
        <a:xfrm>
          <a:off x="10270920" y="1044617"/>
          <a:ext cx="2559165" cy="2296159"/>
        </a:xfrm>
        <a:prstGeom prst="roundRect">
          <a:avLst>
            <a:gd name="adj" fmla="val 9134"/>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100"/>
        </a:p>
      </xdr:txBody>
    </xdr:sp>
    <xdr:clientData/>
  </xdr:twoCellAnchor>
  <xdr:twoCellAnchor>
    <xdr:from>
      <xdr:col>0</xdr:col>
      <xdr:colOff>266304</xdr:colOff>
      <xdr:row>5</xdr:row>
      <xdr:rowOff>166065</xdr:rowOff>
    </xdr:from>
    <xdr:to>
      <xdr:col>3</xdr:col>
      <xdr:colOff>266304</xdr:colOff>
      <xdr:row>11</xdr:row>
      <xdr:rowOff>36386</xdr:rowOff>
    </xdr:to>
    <xdr:grpSp>
      <xdr:nvGrpSpPr>
        <xdr:cNvPr id="18" name="Group 17">
          <a:extLst>
            <a:ext uri="{FF2B5EF4-FFF2-40B4-BE49-F238E27FC236}">
              <a16:creationId xmlns:a16="http://schemas.microsoft.com/office/drawing/2014/main" id="{00000000-0008-0000-0400-000012000000}"/>
            </a:ext>
          </a:extLst>
        </xdr:cNvPr>
        <xdr:cNvGrpSpPr/>
      </xdr:nvGrpSpPr>
      <xdr:grpSpPr>
        <a:xfrm>
          <a:off x="266304" y="1075916"/>
          <a:ext cx="1842448" cy="962142"/>
          <a:chOff x="5141975" y="3121152"/>
          <a:chExt cx="1908049" cy="1347217"/>
        </a:xfrm>
        <a:effectLst/>
      </xdr:grpSpPr>
      <xdr:sp macro="" textlink="">
        <xdr:nvSpPr>
          <xdr:cNvPr id="19" name="Rectangle: Rounded Corners 18">
            <a:extLst>
              <a:ext uri="{FF2B5EF4-FFF2-40B4-BE49-F238E27FC236}">
                <a16:creationId xmlns:a16="http://schemas.microsoft.com/office/drawing/2014/main" id="{00000000-0008-0000-0400-000013000000}"/>
              </a:ext>
            </a:extLst>
          </xdr:cNvPr>
          <xdr:cNvSpPr/>
        </xdr:nvSpPr>
        <xdr:spPr>
          <a:xfrm>
            <a:off x="5141975" y="3121153"/>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Rectangle: Rounded Corners 19">
            <a:extLst>
              <a:ext uri="{FF2B5EF4-FFF2-40B4-BE49-F238E27FC236}">
                <a16:creationId xmlns:a16="http://schemas.microsoft.com/office/drawing/2014/main" id="{00000000-0008-0000-0400-000014000000}"/>
              </a:ext>
            </a:extLst>
          </xdr:cNvPr>
          <xdr:cNvSpPr/>
        </xdr:nvSpPr>
        <xdr:spPr>
          <a:xfrm>
            <a:off x="5141976" y="3121152"/>
            <a:ext cx="1908048" cy="1347216"/>
          </a:xfrm>
          <a:prstGeom prst="roundRect">
            <a:avLst>
              <a:gd name="adj" fmla="val 9880"/>
            </a:avLst>
          </a:prstGeom>
          <a:gradFill flip="none" rotWithShape="1">
            <a:gsLst>
              <a:gs pos="100000">
                <a:srgbClr val="1F1F98">
                  <a:alpha val="0"/>
                </a:srgbClr>
              </a:gs>
              <a:gs pos="5000">
                <a:srgbClr val="1EC0E2"/>
              </a:gs>
            </a:gsLst>
            <a:lin ang="2700000" scaled="1"/>
            <a:tileRect/>
          </a:gradFill>
          <a:ln w="9525">
            <a:gradFill flip="none" rotWithShape="1">
              <a:gsLst>
                <a:gs pos="21000">
                  <a:srgbClr val="9DFFFF"/>
                </a:gs>
                <a:gs pos="81000">
                  <a:srgbClr val="CC00FF"/>
                </a:gs>
              </a:gsLst>
              <a:lin ang="27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0</xdr:col>
      <xdr:colOff>386344</xdr:colOff>
      <xdr:row>5</xdr:row>
      <xdr:rowOff>159138</xdr:rowOff>
    </xdr:from>
    <xdr:to>
      <xdr:col>3</xdr:col>
      <xdr:colOff>146264</xdr:colOff>
      <xdr:row>8</xdr:row>
      <xdr:rowOff>19739</xdr:rowOff>
    </xdr:to>
    <xdr:sp macro="" textlink="Processing!B1">
      <xdr:nvSpPr>
        <xdr:cNvPr id="21" name="TextBox 20">
          <a:extLst>
            <a:ext uri="{FF2B5EF4-FFF2-40B4-BE49-F238E27FC236}">
              <a16:creationId xmlns:a16="http://schemas.microsoft.com/office/drawing/2014/main" id="{00000000-0008-0000-0400-000015000000}"/>
            </a:ext>
          </a:extLst>
        </xdr:cNvPr>
        <xdr:cNvSpPr txBox="1"/>
      </xdr:nvSpPr>
      <xdr:spPr>
        <a:xfrm>
          <a:off x="386344" y="1073538"/>
          <a:ext cx="1588720" cy="40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5F54E37-A099-4E53-AC09-FBA0B7BFCE8F}" type="TxLink">
            <a:rPr lang="en-US" sz="1800" b="0" i="0" u="none" strike="noStrike">
              <a:solidFill>
                <a:schemeClr val="bg1"/>
              </a:solidFill>
              <a:latin typeface="Aptos Narrow"/>
              <a:ea typeface="+mn-ea"/>
              <a:cs typeface="+mn-cs"/>
            </a:rPr>
            <a:pPr marL="0" indent="0" algn="ctr"/>
            <a:t>Total Revenue</a:t>
          </a:fld>
          <a:endParaRPr lang="ru-RU" sz="1800" b="0" i="0" u="none" strike="noStrike">
            <a:solidFill>
              <a:schemeClr val="bg1"/>
            </a:solidFill>
            <a:latin typeface="Aptos Narrow"/>
            <a:ea typeface="+mn-ea"/>
            <a:cs typeface="+mn-cs"/>
          </a:endParaRPr>
        </a:p>
      </xdr:txBody>
    </xdr:sp>
    <xdr:clientData/>
  </xdr:twoCellAnchor>
  <xdr:twoCellAnchor>
    <xdr:from>
      <xdr:col>0</xdr:col>
      <xdr:colOff>257052</xdr:colOff>
      <xdr:row>7</xdr:row>
      <xdr:rowOff>36421</xdr:rowOff>
    </xdr:from>
    <xdr:to>
      <xdr:col>3</xdr:col>
      <xdr:colOff>242454</xdr:colOff>
      <xdr:row>9</xdr:row>
      <xdr:rowOff>96982</xdr:rowOff>
    </xdr:to>
    <xdr:sp macro="" textlink="Processing!B2">
      <xdr:nvSpPr>
        <xdr:cNvPr id="22" name="TextBox 21">
          <a:extLst>
            <a:ext uri="{FF2B5EF4-FFF2-40B4-BE49-F238E27FC236}">
              <a16:creationId xmlns:a16="http://schemas.microsoft.com/office/drawing/2014/main" id="{00000000-0008-0000-0400-000016000000}"/>
            </a:ext>
          </a:extLst>
        </xdr:cNvPr>
        <xdr:cNvSpPr txBox="1"/>
      </xdr:nvSpPr>
      <xdr:spPr>
        <a:xfrm>
          <a:off x="257052" y="1316581"/>
          <a:ext cx="1814202" cy="426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57E41CE-C207-4DA8-9D2C-8BB6228898E6}" type="TxLink">
            <a:rPr lang="en-US" sz="2800" b="0" i="0" u="none" strike="noStrike">
              <a:solidFill>
                <a:schemeClr val="bg1"/>
              </a:solidFill>
              <a:latin typeface="Aptos Narrow"/>
              <a:ea typeface="+mn-ea"/>
              <a:cs typeface="+mn-cs"/>
            </a:rPr>
            <a:pPr marL="0" indent="0" algn="l"/>
            <a:t>$ 401 665 </a:t>
          </a:fld>
          <a:endParaRPr lang="ru-RU" sz="2800" b="0" i="0" u="none" strike="noStrike">
            <a:solidFill>
              <a:schemeClr val="bg1"/>
            </a:solidFill>
            <a:latin typeface="Aptos Narrow"/>
            <a:ea typeface="+mn-ea"/>
            <a:cs typeface="+mn-cs"/>
          </a:endParaRPr>
        </a:p>
      </xdr:txBody>
    </xdr:sp>
    <xdr:clientData/>
  </xdr:twoCellAnchor>
  <xdr:twoCellAnchor>
    <xdr:from>
      <xdr:col>3</xdr:col>
      <xdr:colOff>386839</xdr:colOff>
      <xdr:row>5</xdr:row>
      <xdr:rowOff>166065</xdr:rowOff>
    </xdr:from>
    <xdr:to>
      <xdr:col>6</xdr:col>
      <xdr:colOff>386839</xdr:colOff>
      <xdr:row>11</xdr:row>
      <xdr:rowOff>36386</xdr:rowOff>
    </xdr:to>
    <xdr:grpSp>
      <xdr:nvGrpSpPr>
        <xdr:cNvPr id="23" name="Group 22">
          <a:extLst>
            <a:ext uri="{FF2B5EF4-FFF2-40B4-BE49-F238E27FC236}">
              <a16:creationId xmlns:a16="http://schemas.microsoft.com/office/drawing/2014/main" id="{00000000-0008-0000-0400-000017000000}"/>
            </a:ext>
          </a:extLst>
        </xdr:cNvPr>
        <xdr:cNvGrpSpPr/>
      </xdr:nvGrpSpPr>
      <xdr:grpSpPr>
        <a:xfrm>
          <a:off x="2229287" y="1075916"/>
          <a:ext cx="1842448" cy="962142"/>
          <a:chOff x="2034540" y="1181100"/>
          <a:chExt cx="2377440" cy="1371600"/>
        </a:xfrm>
        <a:effectLst/>
      </xdr:grpSpPr>
      <xdr:sp macro="" textlink="">
        <xdr:nvSpPr>
          <xdr:cNvPr id="24" name="Rectangle: Rounded Corners 23">
            <a:extLst>
              <a:ext uri="{FF2B5EF4-FFF2-40B4-BE49-F238E27FC236}">
                <a16:creationId xmlns:a16="http://schemas.microsoft.com/office/drawing/2014/main" id="{00000000-0008-0000-0400-000018000000}"/>
              </a:ext>
            </a:extLst>
          </xdr:cNvPr>
          <xdr:cNvSpPr/>
        </xdr:nvSpPr>
        <xdr:spPr>
          <a:xfrm>
            <a:off x="2034540" y="1181100"/>
            <a:ext cx="2377440" cy="1371600"/>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5" name="Rectangle: Rounded Corners 24">
            <a:extLst>
              <a:ext uri="{FF2B5EF4-FFF2-40B4-BE49-F238E27FC236}">
                <a16:creationId xmlns:a16="http://schemas.microsoft.com/office/drawing/2014/main" id="{00000000-0008-0000-0400-000019000000}"/>
              </a:ext>
            </a:extLst>
          </xdr:cNvPr>
          <xdr:cNvSpPr/>
        </xdr:nvSpPr>
        <xdr:spPr>
          <a:xfrm>
            <a:off x="2034540" y="1181100"/>
            <a:ext cx="2377440" cy="1371600"/>
          </a:xfrm>
          <a:prstGeom prst="roundRect">
            <a:avLst>
              <a:gd name="adj" fmla="val 9880"/>
            </a:avLst>
          </a:prstGeom>
          <a:gradFill flip="none" rotWithShape="1">
            <a:gsLst>
              <a:gs pos="100000">
                <a:srgbClr val="1F1F98">
                  <a:alpha val="0"/>
                </a:srgbClr>
              </a:gs>
              <a:gs pos="5000">
                <a:srgbClr val="CC00CC"/>
              </a:gs>
            </a:gsLst>
            <a:lin ang="2700000" scaled="1"/>
            <a:tileRect/>
          </a:gradFill>
          <a:ln w="9525">
            <a:gradFill flip="none" rotWithShape="1">
              <a:gsLst>
                <a:gs pos="12000">
                  <a:srgbClr val="F6A6FC"/>
                </a:gs>
                <a:gs pos="68000">
                  <a:srgbClr val="7CF2FD"/>
                </a:gs>
                <a:gs pos="87000">
                  <a:srgbClr val="4F33DD"/>
                </a:gs>
              </a:gsLst>
              <a:lin ang="18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bg1"/>
              </a:solidFill>
            </a:endParaRPr>
          </a:p>
        </xdr:txBody>
      </xdr:sp>
    </xdr:grpSp>
    <xdr:clientData/>
  </xdr:twoCellAnchor>
  <xdr:twoCellAnchor>
    <xdr:from>
      <xdr:col>3</xdr:col>
      <xdr:colOff>480641</xdr:colOff>
      <xdr:row>5</xdr:row>
      <xdr:rowOff>159138</xdr:rowOff>
    </xdr:from>
    <xdr:to>
      <xdr:col>6</xdr:col>
      <xdr:colOff>293037</xdr:colOff>
      <xdr:row>8</xdr:row>
      <xdr:rowOff>19739</xdr:rowOff>
    </xdr:to>
    <xdr:sp macro="" textlink="Processing!C1">
      <xdr:nvSpPr>
        <xdr:cNvPr id="26" name="TextBox 25">
          <a:extLst>
            <a:ext uri="{FF2B5EF4-FFF2-40B4-BE49-F238E27FC236}">
              <a16:creationId xmlns:a16="http://schemas.microsoft.com/office/drawing/2014/main" id="{00000000-0008-0000-0400-00001A000000}"/>
            </a:ext>
          </a:extLst>
        </xdr:cNvPr>
        <xdr:cNvSpPr txBox="1"/>
      </xdr:nvSpPr>
      <xdr:spPr>
        <a:xfrm>
          <a:off x="2309441" y="1073538"/>
          <a:ext cx="1641196" cy="40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86606CF-378D-4D9D-BFB9-C0C1F9BA01DA}" type="TxLink">
            <a:rPr lang="en-US" sz="1800" b="0" i="0" u="none" strike="noStrike">
              <a:solidFill>
                <a:schemeClr val="bg1"/>
              </a:solidFill>
              <a:latin typeface="Aptos Narrow"/>
              <a:ea typeface="+mn-ea"/>
              <a:cs typeface="+mn-cs"/>
            </a:rPr>
            <a:pPr marL="0" indent="0" algn="ctr"/>
            <a:t>Total Expenses</a:t>
          </a:fld>
          <a:endParaRPr lang="ru-RU" sz="1800" b="0" i="0" u="none" strike="noStrike">
            <a:solidFill>
              <a:schemeClr val="bg1"/>
            </a:solidFill>
            <a:latin typeface="Aptos Narrow"/>
            <a:ea typeface="+mn-ea"/>
            <a:cs typeface="+mn-cs"/>
          </a:endParaRPr>
        </a:p>
      </xdr:txBody>
    </xdr:sp>
    <xdr:clientData/>
  </xdr:twoCellAnchor>
  <xdr:twoCellAnchor>
    <xdr:from>
      <xdr:col>3</xdr:col>
      <xdr:colOff>361425</xdr:colOff>
      <xdr:row>7</xdr:row>
      <xdr:rowOff>36421</xdr:rowOff>
    </xdr:from>
    <xdr:to>
      <xdr:col>6</xdr:col>
      <xdr:colOff>581893</xdr:colOff>
      <xdr:row>9</xdr:row>
      <xdr:rowOff>77132</xdr:rowOff>
    </xdr:to>
    <xdr:sp macro="" textlink="Processing!C2">
      <xdr:nvSpPr>
        <xdr:cNvPr id="27" name="TextBox 26">
          <a:extLst>
            <a:ext uri="{FF2B5EF4-FFF2-40B4-BE49-F238E27FC236}">
              <a16:creationId xmlns:a16="http://schemas.microsoft.com/office/drawing/2014/main" id="{00000000-0008-0000-0400-00001B000000}"/>
            </a:ext>
          </a:extLst>
        </xdr:cNvPr>
        <xdr:cNvSpPr txBox="1"/>
      </xdr:nvSpPr>
      <xdr:spPr>
        <a:xfrm>
          <a:off x="2190225" y="1316581"/>
          <a:ext cx="2049268" cy="40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1C64424C-B367-48C3-B7DF-61FB0BEA7A34}" type="TxLink">
            <a:rPr lang="en-US" sz="2800" b="0" i="0" u="none" strike="noStrike">
              <a:solidFill>
                <a:schemeClr val="bg1"/>
              </a:solidFill>
              <a:latin typeface="Aptos Narrow"/>
              <a:ea typeface="+mn-ea"/>
              <a:cs typeface="+mn-cs"/>
            </a:rPr>
            <a:pPr marL="0" indent="0" algn="l"/>
            <a:t>$ 257 497 </a:t>
          </a:fld>
          <a:endParaRPr lang="ru-RU" sz="2800" b="0" i="0" u="none" strike="noStrike">
            <a:solidFill>
              <a:schemeClr val="bg1"/>
            </a:solidFill>
            <a:latin typeface="Aptos Narrow"/>
            <a:ea typeface="+mn-ea"/>
            <a:cs typeface="+mn-cs"/>
          </a:endParaRPr>
        </a:p>
      </xdr:txBody>
    </xdr:sp>
    <xdr:clientData/>
  </xdr:twoCellAnchor>
  <xdr:twoCellAnchor>
    <xdr:from>
      <xdr:col>6</xdr:col>
      <xdr:colOff>583606</xdr:colOff>
      <xdr:row>5</xdr:row>
      <xdr:rowOff>166065</xdr:rowOff>
    </xdr:from>
    <xdr:to>
      <xdr:col>9</xdr:col>
      <xdr:colOff>583606</xdr:colOff>
      <xdr:row>11</xdr:row>
      <xdr:rowOff>36386</xdr:rowOff>
    </xdr:to>
    <xdr:grpSp>
      <xdr:nvGrpSpPr>
        <xdr:cNvPr id="28" name="Group 27">
          <a:extLst>
            <a:ext uri="{FF2B5EF4-FFF2-40B4-BE49-F238E27FC236}">
              <a16:creationId xmlns:a16="http://schemas.microsoft.com/office/drawing/2014/main" id="{00000000-0008-0000-0400-00001C000000}"/>
            </a:ext>
          </a:extLst>
        </xdr:cNvPr>
        <xdr:cNvGrpSpPr/>
      </xdr:nvGrpSpPr>
      <xdr:grpSpPr>
        <a:xfrm>
          <a:off x="4268502" y="1075916"/>
          <a:ext cx="1842447" cy="962142"/>
          <a:chOff x="5141975" y="3121152"/>
          <a:chExt cx="1908049" cy="1347217"/>
        </a:xfrm>
        <a:effectLst/>
      </xdr:grpSpPr>
      <xdr:sp macro="" textlink="">
        <xdr:nvSpPr>
          <xdr:cNvPr id="29" name="Rectangle: Rounded Corners 28">
            <a:extLst>
              <a:ext uri="{FF2B5EF4-FFF2-40B4-BE49-F238E27FC236}">
                <a16:creationId xmlns:a16="http://schemas.microsoft.com/office/drawing/2014/main" id="{00000000-0008-0000-0400-00001D000000}"/>
              </a:ext>
            </a:extLst>
          </xdr:cNvPr>
          <xdr:cNvSpPr/>
        </xdr:nvSpPr>
        <xdr:spPr>
          <a:xfrm>
            <a:off x="5141975" y="3121153"/>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0" name="Rectangle: Rounded Corners 29">
            <a:extLst>
              <a:ext uri="{FF2B5EF4-FFF2-40B4-BE49-F238E27FC236}">
                <a16:creationId xmlns:a16="http://schemas.microsoft.com/office/drawing/2014/main" id="{00000000-0008-0000-0400-00001E000000}"/>
              </a:ext>
            </a:extLst>
          </xdr:cNvPr>
          <xdr:cNvSpPr/>
        </xdr:nvSpPr>
        <xdr:spPr>
          <a:xfrm>
            <a:off x="5141976" y="3121152"/>
            <a:ext cx="1908048" cy="1347216"/>
          </a:xfrm>
          <a:prstGeom prst="roundRect">
            <a:avLst>
              <a:gd name="adj" fmla="val 9880"/>
            </a:avLst>
          </a:prstGeom>
          <a:gradFill flip="none" rotWithShape="1">
            <a:gsLst>
              <a:gs pos="100000">
                <a:srgbClr val="1F1F98">
                  <a:alpha val="0"/>
                </a:srgbClr>
              </a:gs>
              <a:gs pos="5000">
                <a:srgbClr val="0000FF"/>
              </a:gs>
            </a:gsLst>
            <a:lin ang="2700000" scaled="1"/>
            <a:tileRect/>
          </a:gradFill>
          <a:ln w="9525">
            <a:gradFill flip="none" rotWithShape="1">
              <a:gsLst>
                <a:gs pos="21000">
                  <a:srgbClr val="9DFFFF"/>
                </a:gs>
                <a:gs pos="81000">
                  <a:srgbClr val="CC00FF"/>
                </a:gs>
              </a:gsLst>
              <a:lin ang="27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7</xdr:col>
      <xdr:colOff>94722</xdr:colOff>
      <xdr:row>5</xdr:row>
      <xdr:rowOff>159138</xdr:rowOff>
    </xdr:from>
    <xdr:to>
      <xdr:col>9</xdr:col>
      <xdr:colOff>462890</xdr:colOff>
      <xdr:row>8</xdr:row>
      <xdr:rowOff>19739</xdr:rowOff>
    </xdr:to>
    <xdr:sp macro="" textlink="Processing!D1">
      <xdr:nvSpPr>
        <xdr:cNvPr id="31" name="TextBox 30">
          <a:extLst>
            <a:ext uri="{FF2B5EF4-FFF2-40B4-BE49-F238E27FC236}">
              <a16:creationId xmlns:a16="http://schemas.microsoft.com/office/drawing/2014/main" id="{00000000-0008-0000-0400-00001F000000}"/>
            </a:ext>
          </a:extLst>
        </xdr:cNvPr>
        <xdr:cNvSpPr txBox="1"/>
      </xdr:nvSpPr>
      <xdr:spPr>
        <a:xfrm>
          <a:off x="4361922" y="1073538"/>
          <a:ext cx="1587368" cy="40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1FA2558-1B02-4257-8991-E6DB19BF7136}" type="TxLink">
            <a:rPr lang="en-US" sz="1800" b="0" i="0" u="none" strike="noStrike">
              <a:solidFill>
                <a:schemeClr val="bg1"/>
              </a:solidFill>
              <a:latin typeface="Aptos Narrow"/>
              <a:ea typeface="+mn-ea"/>
              <a:cs typeface="+mn-cs"/>
            </a:rPr>
            <a:pPr marL="0" indent="0" algn="ctr"/>
            <a:t>Total Quantity</a:t>
          </a:fld>
          <a:endParaRPr lang="ru-RU" sz="1800" b="0" i="0" u="none" strike="noStrike">
            <a:solidFill>
              <a:schemeClr val="bg1"/>
            </a:solidFill>
            <a:latin typeface="Aptos Narrow"/>
            <a:ea typeface="+mn-ea"/>
            <a:cs typeface="+mn-cs"/>
          </a:endParaRPr>
        </a:p>
      </xdr:txBody>
    </xdr:sp>
    <xdr:clientData/>
  </xdr:twoCellAnchor>
  <xdr:twoCellAnchor>
    <xdr:from>
      <xdr:col>6</xdr:col>
      <xdr:colOff>505293</xdr:colOff>
      <xdr:row>7</xdr:row>
      <xdr:rowOff>36421</xdr:rowOff>
    </xdr:from>
    <xdr:to>
      <xdr:col>10</xdr:col>
      <xdr:colOff>48490</xdr:colOff>
      <xdr:row>9</xdr:row>
      <xdr:rowOff>77132</xdr:rowOff>
    </xdr:to>
    <xdr:sp macro="" textlink="Processing!D2">
      <xdr:nvSpPr>
        <xdr:cNvPr id="32" name="TextBox 31">
          <a:extLst>
            <a:ext uri="{FF2B5EF4-FFF2-40B4-BE49-F238E27FC236}">
              <a16:creationId xmlns:a16="http://schemas.microsoft.com/office/drawing/2014/main" id="{00000000-0008-0000-0400-000020000000}"/>
            </a:ext>
          </a:extLst>
        </xdr:cNvPr>
        <xdr:cNvSpPr txBox="1"/>
      </xdr:nvSpPr>
      <xdr:spPr>
        <a:xfrm>
          <a:off x="4162893" y="1316581"/>
          <a:ext cx="1981597" cy="40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A51E906-66FC-4154-84BB-1A010B681F9C}" type="TxLink">
            <a:rPr lang="en-US" sz="2800" b="0" i="0" u="none" strike="noStrike">
              <a:solidFill>
                <a:schemeClr val="bg1"/>
              </a:solidFill>
              <a:latin typeface="Aptos Narrow"/>
              <a:ea typeface="+mn-ea"/>
              <a:cs typeface="+mn-cs"/>
            </a:rPr>
            <a:pPr marL="0" indent="0" algn="l"/>
            <a:t> 2 103 </a:t>
          </a:fld>
          <a:endParaRPr lang="ru-RU" sz="2800" b="0" i="0" u="none" strike="noStrike">
            <a:solidFill>
              <a:schemeClr val="bg1"/>
            </a:solidFill>
            <a:latin typeface="Aptos Narrow"/>
            <a:ea typeface="+mn-ea"/>
            <a:cs typeface="+mn-cs"/>
          </a:endParaRPr>
        </a:p>
      </xdr:txBody>
    </xdr:sp>
    <xdr:clientData/>
  </xdr:twoCellAnchor>
  <xdr:twoCellAnchor>
    <xdr:from>
      <xdr:col>10</xdr:col>
      <xdr:colOff>102128</xdr:colOff>
      <xdr:row>5</xdr:row>
      <xdr:rowOff>166065</xdr:rowOff>
    </xdr:from>
    <xdr:to>
      <xdr:col>13</xdr:col>
      <xdr:colOff>102129</xdr:colOff>
      <xdr:row>11</xdr:row>
      <xdr:rowOff>36387</xdr:rowOff>
    </xdr:to>
    <xdr:grpSp>
      <xdr:nvGrpSpPr>
        <xdr:cNvPr id="33" name="Group 32">
          <a:extLst>
            <a:ext uri="{FF2B5EF4-FFF2-40B4-BE49-F238E27FC236}">
              <a16:creationId xmlns:a16="http://schemas.microsoft.com/office/drawing/2014/main" id="{00000000-0008-0000-0400-000021000000}"/>
            </a:ext>
          </a:extLst>
        </xdr:cNvPr>
        <xdr:cNvGrpSpPr/>
      </xdr:nvGrpSpPr>
      <xdr:grpSpPr>
        <a:xfrm>
          <a:off x="6243621" y="1075916"/>
          <a:ext cx="1842448" cy="962143"/>
          <a:chOff x="7162800" y="3121151"/>
          <a:chExt cx="1908049" cy="1347217"/>
        </a:xfrm>
        <a:effectLst/>
      </xdr:grpSpPr>
      <xdr:sp macro="" textlink="">
        <xdr:nvSpPr>
          <xdr:cNvPr id="34" name="Rectangle: Rounded Corners 33">
            <a:extLst>
              <a:ext uri="{FF2B5EF4-FFF2-40B4-BE49-F238E27FC236}">
                <a16:creationId xmlns:a16="http://schemas.microsoft.com/office/drawing/2014/main" id="{00000000-0008-0000-0400-000022000000}"/>
              </a:ext>
            </a:extLst>
          </xdr:cNvPr>
          <xdr:cNvSpPr/>
        </xdr:nvSpPr>
        <xdr:spPr>
          <a:xfrm>
            <a:off x="7162800" y="3121152"/>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5" name="Rectangle: Rounded Corners 34">
            <a:extLst>
              <a:ext uri="{FF2B5EF4-FFF2-40B4-BE49-F238E27FC236}">
                <a16:creationId xmlns:a16="http://schemas.microsoft.com/office/drawing/2014/main" id="{00000000-0008-0000-0400-000023000000}"/>
              </a:ext>
            </a:extLst>
          </xdr:cNvPr>
          <xdr:cNvSpPr/>
        </xdr:nvSpPr>
        <xdr:spPr>
          <a:xfrm>
            <a:off x="7162801" y="3121151"/>
            <a:ext cx="1908048" cy="1347216"/>
          </a:xfrm>
          <a:prstGeom prst="roundRect">
            <a:avLst>
              <a:gd name="adj" fmla="val 9880"/>
            </a:avLst>
          </a:prstGeom>
          <a:gradFill flip="none" rotWithShape="1">
            <a:gsLst>
              <a:gs pos="100000">
                <a:srgbClr val="1F1F98">
                  <a:alpha val="0"/>
                </a:srgbClr>
              </a:gs>
              <a:gs pos="8000">
                <a:srgbClr val="9933FF"/>
              </a:gs>
            </a:gsLst>
            <a:lin ang="2700000" scaled="1"/>
            <a:tileRect/>
          </a:gradFill>
          <a:ln w="9525">
            <a:gradFill flip="none" rotWithShape="1">
              <a:gsLst>
                <a:gs pos="14000">
                  <a:srgbClr val="E39CFF"/>
                </a:gs>
                <a:gs pos="39000">
                  <a:srgbClr val="6AF8FF"/>
                </a:gs>
                <a:gs pos="87000">
                  <a:srgbClr val="CC00FF"/>
                </a:gs>
              </a:gsLst>
              <a:lin ang="42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10</xdr:col>
      <xdr:colOff>270530</xdr:colOff>
      <xdr:row>5</xdr:row>
      <xdr:rowOff>159138</xdr:rowOff>
    </xdr:from>
    <xdr:to>
      <xdr:col>12</xdr:col>
      <xdr:colOff>543326</xdr:colOff>
      <xdr:row>8</xdr:row>
      <xdr:rowOff>19739</xdr:rowOff>
    </xdr:to>
    <xdr:sp macro="" textlink="Processing!E1">
      <xdr:nvSpPr>
        <xdr:cNvPr id="36" name="TextBox 35">
          <a:extLst>
            <a:ext uri="{FF2B5EF4-FFF2-40B4-BE49-F238E27FC236}">
              <a16:creationId xmlns:a16="http://schemas.microsoft.com/office/drawing/2014/main" id="{00000000-0008-0000-0400-000024000000}"/>
            </a:ext>
          </a:extLst>
        </xdr:cNvPr>
        <xdr:cNvSpPr txBox="1"/>
      </xdr:nvSpPr>
      <xdr:spPr>
        <a:xfrm>
          <a:off x="6366530" y="1073538"/>
          <a:ext cx="1491996" cy="40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36EA7CB-B5E5-4572-A8F5-06AC1B092E92}" type="TxLink">
            <a:rPr lang="en-US" sz="1800" b="0" i="0" u="none" strike="noStrike">
              <a:solidFill>
                <a:schemeClr val="bg1"/>
              </a:solidFill>
              <a:latin typeface="Aptos Narrow"/>
              <a:ea typeface="+mn-ea"/>
              <a:cs typeface="+mn-cs"/>
            </a:rPr>
            <a:pPr marL="0" indent="0" algn="ctr"/>
            <a:t>Total Profit</a:t>
          </a:fld>
          <a:endParaRPr lang="ru-RU" sz="1800" b="0" i="0" u="none" strike="noStrike">
            <a:solidFill>
              <a:schemeClr val="bg1"/>
            </a:solidFill>
            <a:latin typeface="Aptos Narrow"/>
            <a:ea typeface="+mn-ea"/>
            <a:cs typeface="+mn-cs"/>
          </a:endParaRPr>
        </a:p>
      </xdr:txBody>
    </xdr:sp>
    <xdr:clientData/>
  </xdr:twoCellAnchor>
  <xdr:twoCellAnchor>
    <xdr:from>
      <xdr:col>10</xdr:col>
      <xdr:colOff>72096</xdr:colOff>
      <xdr:row>7</xdr:row>
      <xdr:rowOff>36421</xdr:rowOff>
    </xdr:from>
    <xdr:to>
      <xdr:col>13</xdr:col>
      <xdr:colOff>229144</xdr:colOff>
      <xdr:row>9</xdr:row>
      <xdr:rowOff>77132</xdr:rowOff>
    </xdr:to>
    <xdr:sp macro="" textlink="Processing!E2">
      <xdr:nvSpPr>
        <xdr:cNvPr id="37" name="TextBox 36">
          <a:extLst>
            <a:ext uri="{FF2B5EF4-FFF2-40B4-BE49-F238E27FC236}">
              <a16:creationId xmlns:a16="http://schemas.microsoft.com/office/drawing/2014/main" id="{00000000-0008-0000-0400-000025000000}"/>
            </a:ext>
          </a:extLst>
        </xdr:cNvPr>
        <xdr:cNvSpPr txBox="1"/>
      </xdr:nvSpPr>
      <xdr:spPr>
        <a:xfrm>
          <a:off x="6168096" y="1316581"/>
          <a:ext cx="1985848" cy="406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39CCF77-31D4-434F-8B2A-4A017D7E2035}" type="TxLink">
            <a:rPr lang="en-US" sz="2800" b="0" i="0" u="none" strike="noStrike">
              <a:solidFill>
                <a:schemeClr val="bg1"/>
              </a:solidFill>
              <a:latin typeface="Aptos Narrow"/>
              <a:ea typeface="+mn-ea"/>
              <a:cs typeface="+mn-cs"/>
            </a:rPr>
            <a:pPr marL="0" indent="0" algn="l"/>
            <a:t>$ 144 168 </a:t>
          </a:fld>
          <a:endParaRPr lang="ru-RU" sz="2800" b="0" i="0" u="none" strike="noStrike">
            <a:solidFill>
              <a:schemeClr val="bg1"/>
            </a:solidFill>
            <a:latin typeface="Aptos Narrow"/>
            <a:ea typeface="+mn-ea"/>
            <a:cs typeface="+mn-cs"/>
          </a:endParaRPr>
        </a:p>
      </xdr:txBody>
    </xdr:sp>
    <xdr:clientData/>
  </xdr:twoCellAnchor>
  <xdr:twoCellAnchor>
    <xdr:from>
      <xdr:col>13</xdr:col>
      <xdr:colOff>243128</xdr:colOff>
      <xdr:row>5</xdr:row>
      <xdr:rowOff>166065</xdr:rowOff>
    </xdr:from>
    <xdr:to>
      <xdr:col>16</xdr:col>
      <xdr:colOff>243128</xdr:colOff>
      <xdr:row>11</xdr:row>
      <xdr:rowOff>36386</xdr:rowOff>
    </xdr:to>
    <xdr:grpSp>
      <xdr:nvGrpSpPr>
        <xdr:cNvPr id="38" name="Group 37">
          <a:extLst>
            <a:ext uri="{FF2B5EF4-FFF2-40B4-BE49-F238E27FC236}">
              <a16:creationId xmlns:a16="http://schemas.microsoft.com/office/drawing/2014/main" id="{00000000-0008-0000-0400-000026000000}"/>
            </a:ext>
          </a:extLst>
        </xdr:cNvPr>
        <xdr:cNvGrpSpPr/>
      </xdr:nvGrpSpPr>
      <xdr:grpSpPr>
        <a:xfrm>
          <a:off x="8227068" y="1075916"/>
          <a:ext cx="1842448" cy="962142"/>
          <a:chOff x="5852072" y="2816245"/>
          <a:chExt cx="1828800" cy="950976"/>
        </a:xfrm>
      </xdr:grpSpPr>
      <xdr:sp macro="" textlink="">
        <xdr:nvSpPr>
          <xdr:cNvPr id="39" name="Rectangle: Rounded Corners 38">
            <a:extLst>
              <a:ext uri="{FF2B5EF4-FFF2-40B4-BE49-F238E27FC236}">
                <a16:creationId xmlns:a16="http://schemas.microsoft.com/office/drawing/2014/main" id="{00000000-0008-0000-0400-000027000000}"/>
              </a:ext>
            </a:extLst>
          </xdr:cNvPr>
          <xdr:cNvSpPr/>
        </xdr:nvSpPr>
        <xdr:spPr>
          <a:xfrm>
            <a:off x="5852072" y="2818529"/>
            <a:ext cx="1828800" cy="946408"/>
          </a:xfrm>
          <a:prstGeom prst="roundRect">
            <a:avLst>
              <a:gd name="adj" fmla="val 10843"/>
            </a:avLst>
          </a:prstGeom>
          <a:gradFill>
            <a:gsLst>
              <a:gs pos="100000">
                <a:srgbClr val="2A1956"/>
              </a:gs>
              <a:gs pos="0">
                <a:srgbClr val="4A278F"/>
              </a:gs>
            </a:gsLst>
            <a:path path="circle">
              <a:fillToRect r="100000" b="100000"/>
            </a:path>
          </a:gradFill>
          <a:ln w="9525">
            <a:noFill/>
          </a:ln>
          <a:effectLst>
            <a:outerShdw blurRad="127000" dist="190500" dir="8100000" algn="ctr" rotWithShape="0">
              <a:schemeClr val="tx1">
                <a:alpha val="7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endParaRPr lang="ru-RU" sz="1200">
              <a:solidFill>
                <a:schemeClr val="bg1"/>
              </a:solidFill>
              <a:latin typeface="Aptos Narrow"/>
            </a:endParaRPr>
          </a:p>
        </xdr:txBody>
      </xdr:sp>
      <xdr:sp macro="" textlink="">
        <xdr:nvSpPr>
          <xdr:cNvPr id="40" name="Rectangle: Rounded Corners 39">
            <a:extLst>
              <a:ext uri="{FF2B5EF4-FFF2-40B4-BE49-F238E27FC236}">
                <a16:creationId xmlns:a16="http://schemas.microsoft.com/office/drawing/2014/main" id="{00000000-0008-0000-0400-000028000000}"/>
              </a:ext>
            </a:extLst>
          </xdr:cNvPr>
          <xdr:cNvSpPr/>
        </xdr:nvSpPr>
        <xdr:spPr>
          <a:xfrm>
            <a:off x="5852072" y="2816245"/>
            <a:ext cx="1828800" cy="950976"/>
          </a:xfrm>
          <a:prstGeom prst="roundRect">
            <a:avLst>
              <a:gd name="adj" fmla="val 9880"/>
            </a:avLst>
          </a:prstGeom>
          <a:gradFill flip="none" rotWithShape="1">
            <a:gsLst>
              <a:gs pos="50000">
                <a:srgbClr val="1F1F98">
                  <a:alpha val="0"/>
                </a:srgbClr>
              </a:gs>
              <a:gs pos="8000">
                <a:srgbClr val="9933FF"/>
              </a:gs>
            </a:gsLst>
            <a:lin ang="2700000" scaled="1"/>
            <a:tileRect/>
          </a:gradFill>
          <a:ln w="9525">
            <a:gradFill flip="none" rotWithShape="1">
              <a:gsLst>
                <a:gs pos="14000">
                  <a:srgbClr val="E39CFF"/>
                </a:gs>
                <a:gs pos="39000">
                  <a:srgbClr val="6AF8FF"/>
                </a:gs>
                <a:gs pos="87000">
                  <a:srgbClr val="CC00FF"/>
                </a:gs>
              </a:gsLst>
              <a:lin ang="42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13</xdr:col>
      <xdr:colOff>340847</xdr:colOff>
      <xdr:row>5</xdr:row>
      <xdr:rowOff>159138</xdr:rowOff>
    </xdr:from>
    <xdr:to>
      <xdr:col>16</xdr:col>
      <xdr:colOff>145409</xdr:colOff>
      <xdr:row>8</xdr:row>
      <xdr:rowOff>19739</xdr:rowOff>
    </xdr:to>
    <xdr:sp macro="" textlink="Processing!F1">
      <xdr:nvSpPr>
        <xdr:cNvPr id="41" name="TextBox 40">
          <a:extLst>
            <a:ext uri="{FF2B5EF4-FFF2-40B4-BE49-F238E27FC236}">
              <a16:creationId xmlns:a16="http://schemas.microsoft.com/office/drawing/2014/main" id="{00000000-0008-0000-0400-000029000000}"/>
            </a:ext>
          </a:extLst>
        </xdr:cNvPr>
        <xdr:cNvSpPr txBox="1"/>
      </xdr:nvSpPr>
      <xdr:spPr>
        <a:xfrm>
          <a:off x="8265647" y="1073538"/>
          <a:ext cx="1633362" cy="409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BCE1857-0D68-48BB-B991-23A6EC8927AB}" type="TxLink">
            <a:rPr lang="en-US" sz="1800" b="0" i="0" u="none" strike="noStrike">
              <a:solidFill>
                <a:schemeClr val="bg1"/>
              </a:solidFill>
              <a:latin typeface="Aptos Narrow"/>
              <a:ea typeface="+mn-ea"/>
              <a:cs typeface="+mn-cs"/>
            </a:rPr>
            <a:pPr marL="0" indent="0" algn="ctr"/>
            <a:t>Avg Order Value</a:t>
          </a:fld>
          <a:endParaRPr lang="ru-RU" sz="1800" b="0" i="0" u="none" strike="noStrike">
            <a:solidFill>
              <a:schemeClr val="bg1"/>
            </a:solidFill>
            <a:latin typeface="Aptos Narrow"/>
            <a:ea typeface="+mn-ea"/>
            <a:cs typeface="+mn-cs"/>
          </a:endParaRPr>
        </a:p>
      </xdr:txBody>
    </xdr:sp>
    <xdr:clientData/>
  </xdr:twoCellAnchor>
  <xdr:twoCellAnchor>
    <xdr:from>
      <xdr:col>13</xdr:col>
      <xdr:colOff>216831</xdr:colOff>
      <xdr:row>7</xdr:row>
      <xdr:rowOff>36421</xdr:rowOff>
    </xdr:from>
    <xdr:to>
      <xdr:col>16</xdr:col>
      <xdr:colOff>241718</xdr:colOff>
      <xdr:row>9</xdr:row>
      <xdr:rowOff>166254</xdr:rowOff>
    </xdr:to>
    <xdr:sp macro="" textlink="Processing!F2">
      <xdr:nvSpPr>
        <xdr:cNvPr id="42" name="TextBox 41">
          <a:extLst>
            <a:ext uri="{FF2B5EF4-FFF2-40B4-BE49-F238E27FC236}">
              <a16:creationId xmlns:a16="http://schemas.microsoft.com/office/drawing/2014/main" id="{00000000-0008-0000-0400-00002A000000}"/>
            </a:ext>
          </a:extLst>
        </xdr:cNvPr>
        <xdr:cNvSpPr txBox="1"/>
      </xdr:nvSpPr>
      <xdr:spPr>
        <a:xfrm>
          <a:off x="8141631" y="1316581"/>
          <a:ext cx="1853687" cy="495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0A457EB-BAAF-406E-8EAA-AA07EC0B9676}" type="TxLink">
            <a:rPr lang="en-US" sz="2800" b="0" i="0" u="none" strike="noStrike">
              <a:solidFill>
                <a:schemeClr val="bg1"/>
              </a:solidFill>
              <a:latin typeface="Aptos Narrow"/>
              <a:ea typeface="+mn-ea"/>
              <a:cs typeface="+mn-cs"/>
            </a:rPr>
            <a:pPr marL="0" indent="0" algn="ctr"/>
            <a:t> 803 </a:t>
          </a:fld>
          <a:endParaRPr lang="ru-RU" sz="2800" b="0" i="0" u="none" strike="noStrike">
            <a:solidFill>
              <a:schemeClr val="bg1"/>
            </a:solidFill>
            <a:latin typeface="Aptos Narrow"/>
            <a:ea typeface="+mn-ea"/>
            <a:cs typeface="+mn-cs"/>
          </a:endParaRPr>
        </a:p>
      </xdr:txBody>
    </xdr:sp>
    <xdr:clientData/>
  </xdr:twoCellAnchor>
  <xdr:twoCellAnchor>
    <xdr:from>
      <xdr:col>0</xdr:col>
      <xdr:colOff>249382</xdr:colOff>
      <xdr:row>9</xdr:row>
      <xdr:rowOff>131617</xdr:rowOff>
    </xdr:from>
    <xdr:to>
      <xdr:col>1</xdr:col>
      <xdr:colOff>512619</xdr:colOff>
      <xdr:row>11</xdr:row>
      <xdr:rowOff>27708</xdr:rowOff>
    </xdr:to>
    <xdr:sp macro="" textlink="">
      <xdr:nvSpPr>
        <xdr:cNvPr id="43" name="TextBox 42">
          <a:extLst>
            <a:ext uri="{FF2B5EF4-FFF2-40B4-BE49-F238E27FC236}">
              <a16:creationId xmlns:a16="http://schemas.microsoft.com/office/drawing/2014/main" id="{00000000-0008-0000-0400-00002B000000}"/>
            </a:ext>
          </a:extLst>
        </xdr:cNvPr>
        <xdr:cNvSpPr txBox="1"/>
      </xdr:nvSpPr>
      <xdr:spPr>
        <a:xfrm>
          <a:off x="249382"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2</xdr:col>
      <xdr:colOff>193964</xdr:colOff>
      <xdr:row>9</xdr:row>
      <xdr:rowOff>131618</xdr:rowOff>
    </xdr:from>
    <xdr:to>
      <xdr:col>3</xdr:col>
      <xdr:colOff>207818</xdr:colOff>
      <xdr:row>11</xdr:row>
      <xdr:rowOff>6927</xdr:rowOff>
    </xdr:to>
    <xdr:sp macro="" textlink="">
      <xdr:nvSpPr>
        <xdr:cNvPr id="44" name="Rectangle: Rounded Corners 43">
          <a:extLst>
            <a:ext uri="{FF2B5EF4-FFF2-40B4-BE49-F238E27FC236}">
              <a16:creationId xmlns:a16="http://schemas.microsoft.com/office/drawing/2014/main" id="{00000000-0008-0000-0400-00002C000000}"/>
            </a:ext>
          </a:extLst>
        </xdr:cNvPr>
        <xdr:cNvSpPr/>
      </xdr:nvSpPr>
      <xdr:spPr>
        <a:xfrm>
          <a:off x="1413164" y="1777538"/>
          <a:ext cx="623454" cy="241069"/>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353291</xdr:colOff>
      <xdr:row>9</xdr:row>
      <xdr:rowOff>131617</xdr:rowOff>
    </xdr:from>
    <xdr:to>
      <xdr:col>5</xdr:col>
      <xdr:colOff>6928</xdr:colOff>
      <xdr:row>11</xdr:row>
      <xdr:rowOff>27708</xdr:rowOff>
    </xdr:to>
    <xdr:sp macro="" textlink="">
      <xdr:nvSpPr>
        <xdr:cNvPr id="45" name="TextBox 44">
          <a:extLst>
            <a:ext uri="{FF2B5EF4-FFF2-40B4-BE49-F238E27FC236}">
              <a16:creationId xmlns:a16="http://schemas.microsoft.com/office/drawing/2014/main" id="{00000000-0008-0000-0400-00002D000000}"/>
            </a:ext>
          </a:extLst>
        </xdr:cNvPr>
        <xdr:cNvSpPr txBox="1"/>
      </xdr:nvSpPr>
      <xdr:spPr>
        <a:xfrm>
          <a:off x="2182091"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5</xdr:col>
      <xdr:colOff>297873</xdr:colOff>
      <xdr:row>9</xdr:row>
      <xdr:rowOff>131618</xdr:rowOff>
    </xdr:from>
    <xdr:to>
      <xdr:col>6</xdr:col>
      <xdr:colOff>311727</xdr:colOff>
      <xdr:row>11</xdr:row>
      <xdr:rowOff>6927</xdr:rowOff>
    </xdr:to>
    <xdr:sp macro="" textlink="">
      <xdr:nvSpPr>
        <xdr:cNvPr id="46" name="Rectangle: Rounded Corners 45">
          <a:extLst>
            <a:ext uri="{FF2B5EF4-FFF2-40B4-BE49-F238E27FC236}">
              <a16:creationId xmlns:a16="http://schemas.microsoft.com/office/drawing/2014/main" id="{00000000-0008-0000-0400-00002E000000}"/>
            </a:ext>
          </a:extLst>
        </xdr:cNvPr>
        <xdr:cNvSpPr/>
      </xdr:nvSpPr>
      <xdr:spPr>
        <a:xfrm>
          <a:off x="3345873" y="1777538"/>
          <a:ext cx="623454" cy="241069"/>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574964</xdr:colOff>
      <xdr:row>9</xdr:row>
      <xdr:rowOff>131617</xdr:rowOff>
    </xdr:from>
    <xdr:to>
      <xdr:col>8</xdr:col>
      <xdr:colOff>228601</xdr:colOff>
      <xdr:row>11</xdr:row>
      <xdr:rowOff>27708</xdr:rowOff>
    </xdr:to>
    <xdr:sp macro="" textlink="">
      <xdr:nvSpPr>
        <xdr:cNvPr id="47" name="TextBox 46">
          <a:extLst>
            <a:ext uri="{FF2B5EF4-FFF2-40B4-BE49-F238E27FC236}">
              <a16:creationId xmlns:a16="http://schemas.microsoft.com/office/drawing/2014/main" id="{00000000-0008-0000-0400-00002F000000}"/>
            </a:ext>
          </a:extLst>
        </xdr:cNvPr>
        <xdr:cNvSpPr txBox="1"/>
      </xdr:nvSpPr>
      <xdr:spPr>
        <a:xfrm>
          <a:off x="4232564"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8</xdr:col>
      <xdr:colOff>519546</xdr:colOff>
      <xdr:row>9</xdr:row>
      <xdr:rowOff>131618</xdr:rowOff>
    </xdr:from>
    <xdr:to>
      <xdr:col>9</xdr:col>
      <xdr:colOff>533400</xdr:colOff>
      <xdr:row>11</xdr:row>
      <xdr:rowOff>6927</xdr:rowOff>
    </xdr:to>
    <xdr:sp macro="" textlink="">
      <xdr:nvSpPr>
        <xdr:cNvPr id="48" name="Rectangle: Rounded Corners 47">
          <a:extLst>
            <a:ext uri="{FF2B5EF4-FFF2-40B4-BE49-F238E27FC236}">
              <a16:creationId xmlns:a16="http://schemas.microsoft.com/office/drawing/2014/main" id="{00000000-0008-0000-0400-000030000000}"/>
            </a:ext>
          </a:extLst>
        </xdr:cNvPr>
        <xdr:cNvSpPr/>
      </xdr:nvSpPr>
      <xdr:spPr>
        <a:xfrm>
          <a:off x="5396346" y="1777538"/>
          <a:ext cx="623454" cy="241069"/>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96982</xdr:colOff>
      <xdr:row>9</xdr:row>
      <xdr:rowOff>131617</xdr:rowOff>
    </xdr:from>
    <xdr:to>
      <xdr:col>11</xdr:col>
      <xdr:colOff>360219</xdr:colOff>
      <xdr:row>11</xdr:row>
      <xdr:rowOff>27708</xdr:rowOff>
    </xdr:to>
    <xdr:sp macro="" textlink="">
      <xdr:nvSpPr>
        <xdr:cNvPr id="49" name="TextBox 48">
          <a:extLst>
            <a:ext uri="{FF2B5EF4-FFF2-40B4-BE49-F238E27FC236}">
              <a16:creationId xmlns:a16="http://schemas.microsoft.com/office/drawing/2014/main" id="{00000000-0008-0000-0400-000031000000}"/>
            </a:ext>
          </a:extLst>
        </xdr:cNvPr>
        <xdr:cNvSpPr txBox="1"/>
      </xdr:nvSpPr>
      <xdr:spPr>
        <a:xfrm>
          <a:off x="6192982"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rPr>
            <a:t>YoY Growth</a:t>
          </a:r>
        </a:p>
      </xdr:txBody>
    </xdr:sp>
    <xdr:clientData/>
  </xdr:twoCellAnchor>
  <xdr:twoCellAnchor>
    <xdr:from>
      <xdr:col>12</xdr:col>
      <xdr:colOff>41564</xdr:colOff>
      <xdr:row>9</xdr:row>
      <xdr:rowOff>131618</xdr:rowOff>
    </xdr:from>
    <xdr:to>
      <xdr:col>13</xdr:col>
      <xdr:colOff>55418</xdr:colOff>
      <xdr:row>11</xdr:row>
      <xdr:rowOff>6927</xdr:rowOff>
    </xdr:to>
    <xdr:sp macro="" textlink="">
      <xdr:nvSpPr>
        <xdr:cNvPr id="50" name="Rectangle: Rounded Corners 49">
          <a:extLst>
            <a:ext uri="{FF2B5EF4-FFF2-40B4-BE49-F238E27FC236}">
              <a16:creationId xmlns:a16="http://schemas.microsoft.com/office/drawing/2014/main" id="{00000000-0008-0000-0400-000032000000}"/>
            </a:ext>
          </a:extLst>
        </xdr:cNvPr>
        <xdr:cNvSpPr/>
      </xdr:nvSpPr>
      <xdr:spPr>
        <a:xfrm>
          <a:off x="7356764" y="1777538"/>
          <a:ext cx="623454" cy="241069"/>
        </a:xfrm>
        <a:prstGeom prst="roundRect">
          <a:avLst>
            <a:gd name="adj" fmla="val 50000"/>
          </a:avLst>
        </a:prstGeom>
        <a:solidFill>
          <a:schemeClr val="bg1">
            <a:alpha val="21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48491</xdr:colOff>
      <xdr:row>9</xdr:row>
      <xdr:rowOff>131617</xdr:rowOff>
    </xdr:from>
    <xdr:to>
      <xdr:col>3</xdr:col>
      <xdr:colOff>311728</xdr:colOff>
      <xdr:row>11</xdr:row>
      <xdr:rowOff>27708</xdr:rowOff>
    </xdr:to>
    <xdr:sp macro="" textlink="Processing!B13">
      <xdr:nvSpPr>
        <xdr:cNvPr id="51" name="TextBox 50">
          <a:extLst>
            <a:ext uri="{FF2B5EF4-FFF2-40B4-BE49-F238E27FC236}">
              <a16:creationId xmlns:a16="http://schemas.microsoft.com/office/drawing/2014/main" id="{00000000-0008-0000-0400-000033000000}"/>
            </a:ext>
          </a:extLst>
        </xdr:cNvPr>
        <xdr:cNvSpPr txBox="1"/>
      </xdr:nvSpPr>
      <xdr:spPr>
        <a:xfrm>
          <a:off x="1267691"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421D81-285E-47E9-9BFD-3415CF8E9136}" type="TxLink">
            <a:rPr lang="en-US" sz="1000" b="0" i="0" u="none" strike="noStrike">
              <a:solidFill>
                <a:schemeClr val="bg1"/>
              </a:solidFill>
              <a:latin typeface="Calibri"/>
              <a:cs typeface="Calibri"/>
            </a:rPr>
            <a:pPr algn="ctr"/>
            <a:t>▲ 13,27%</a:t>
          </a:fld>
          <a:endParaRPr lang="en-US" sz="800">
            <a:solidFill>
              <a:schemeClr val="bg1"/>
            </a:solidFill>
          </a:endParaRPr>
        </a:p>
      </xdr:txBody>
    </xdr:sp>
    <xdr:clientData/>
  </xdr:twoCellAnchor>
  <xdr:twoCellAnchor>
    <xdr:from>
      <xdr:col>5</xdr:col>
      <xdr:colOff>180109</xdr:colOff>
      <xdr:row>9</xdr:row>
      <xdr:rowOff>131617</xdr:rowOff>
    </xdr:from>
    <xdr:to>
      <xdr:col>6</xdr:col>
      <xdr:colOff>443346</xdr:colOff>
      <xdr:row>11</xdr:row>
      <xdr:rowOff>27708</xdr:rowOff>
    </xdr:to>
    <xdr:sp macro="" textlink="Processing!C13">
      <xdr:nvSpPr>
        <xdr:cNvPr id="52" name="TextBox 51">
          <a:extLst>
            <a:ext uri="{FF2B5EF4-FFF2-40B4-BE49-F238E27FC236}">
              <a16:creationId xmlns:a16="http://schemas.microsoft.com/office/drawing/2014/main" id="{00000000-0008-0000-0400-000034000000}"/>
            </a:ext>
          </a:extLst>
        </xdr:cNvPr>
        <xdr:cNvSpPr txBox="1"/>
      </xdr:nvSpPr>
      <xdr:spPr>
        <a:xfrm>
          <a:off x="3228109"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2BE4D3F-49DE-49FD-9D6A-58DEDF03469B}" type="TxLink">
            <a:rPr lang="en-US" sz="1000" b="0" i="0" u="none" strike="noStrike">
              <a:solidFill>
                <a:schemeClr val="bg1"/>
              </a:solidFill>
              <a:latin typeface="Calibri"/>
              <a:ea typeface="+mn-ea"/>
              <a:cs typeface="Calibri"/>
            </a:rPr>
            <a:pPr marL="0" indent="0" algn="ctr"/>
            <a:t>▲ 15,40%</a:t>
          </a:fld>
          <a:endParaRPr lang="en-US" sz="1000" b="0" i="0" u="none" strike="noStrike">
            <a:solidFill>
              <a:schemeClr val="bg1"/>
            </a:solidFill>
            <a:latin typeface="Calibri"/>
            <a:ea typeface="+mn-ea"/>
            <a:cs typeface="Calibri"/>
          </a:endParaRPr>
        </a:p>
      </xdr:txBody>
    </xdr:sp>
    <xdr:clientData/>
  </xdr:twoCellAnchor>
  <xdr:twoCellAnchor>
    <xdr:from>
      <xdr:col>8</xdr:col>
      <xdr:colOff>387927</xdr:colOff>
      <xdr:row>9</xdr:row>
      <xdr:rowOff>131617</xdr:rowOff>
    </xdr:from>
    <xdr:to>
      <xdr:col>10</xdr:col>
      <xdr:colOff>41564</xdr:colOff>
      <xdr:row>11</xdr:row>
      <xdr:rowOff>27708</xdr:rowOff>
    </xdr:to>
    <xdr:sp macro="" textlink="Processing!D13">
      <xdr:nvSpPr>
        <xdr:cNvPr id="53" name="TextBox 52">
          <a:extLst>
            <a:ext uri="{FF2B5EF4-FFF2-40B4-BE49-F238E27FC236}">
              <a16:creationId xmlns:a16="http://schemas.microsoft.com/office/drawing/2014/main" id="{00000000-0008-0000-0400-000035000000}"/>
            </a:ext>
          </a:extLst>
        </xdr:cNvPr>
        <xdr:cNvSpPr txBox="1"/>
      </xdr:nvSpPr>
      <xdr:spPr>
        <a:xfrm>
          <a:off x="5264727"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9684377-1574-4452-A507-8EC548A19566}" type="TxLink">
            <a:rPr lang="en-US" sz="1000" b="0" i="0" u="none" strike="noStrike">
              <a:solidFill>
                <a:schemeClr val="bg1"/>
              </a:solidFill>
              <a:latin typeface="Calibri"/>
              <a:ea typeface="+mn-ea"/>
              <a:cs typeface="Calibri"/>
            </a:rPr>
            <a:pPr marL="0" indent="0" algn="ctr"/>
            <a:t>▲ 0,10%</a:t>
          </a:fld>
          <a:endParaRPr lang="en-US" sz="1000" b="0" i="0" u="none" strike="noStrike">
            <a:solidFill>
              <a:schemeClr val="bg1"/>
            </a:solidFill>
            <a:latin typeface="Calibri"/>
            <a:ea typeface="+mn-ea"/>
            <a:cs typeface="Calibri"/>
          </a:endParaRPr>
        </a:p>
      </xdr:txBody>
    </xdr:sp>
    <xdr:clientData/>
  </xdr:twoCellAnchor>
  <xdr:twoCellAnchor>
    <xdr:from>
      <xdr:col>11</xdr:col>
      <xdr:colOff>512618</xdr:colOff>
      <xdr:row>9</xdr:row>
      <xdr:rowOff>131617</xdr:rowOff>
    </xdr:from>
    <xdr:to>
      <xdr:col>13</xdr:col>
      <xdr:colOff>166255</xdr:colOff>
      <xdr:row>11</xdr:row>
      <xdr:rowOff>27708</xdr:rowOff>
    </xdr:to>
    <xdr:sp macro="" textlink="Processing!E13">
      <xdr:nvSpPr>
        <xdr:cNvPr id="54" name="TextBox 53">
          <a:extLst>
            <a:ext uri="{FF2B5EF4-FFF2-40B4-BE49-F238E27FC236}">
              <a16:creationId xmlns:a16="http://schemas.microsoft.com/office/drawing/2014/main" id="{00000000-0008-0000-0400-000036000000}"/>
            </a:ext>
          </a:extLst>
        </xdr:cNvPr>
        <xdr:cNvSpPr txBox="1"/>
      </xdr:nvSpPr>
      <xdr:spPr>
        <a:xfrm>
          <a:off x="7218218" y="1777537"/>
          <a:ext cx="872837" cy="261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CBD5D7-332B-4B7A-93FA-2787EB84A694}" type="TxLink">
            <a:rPr lang="en-US" sz="1000" b="0" i="0" u="none" strike="noStrike">
              <a:solidFill>
                <a:schemeClr val="bg1"/>
              </a:solidFill>
              <a:latin typeface="Calibri"/>
              <a:ea typeface="+mn-ea"/>
              <a:cs typeface="Calibri"/>
            </a:rPr>
            <a:pPr marL="0" indent="0" algn="ctr"/>
            <a:t>▲ 9,56%</a:t>
          </a:fld>
          <a:endParaRPr lang="en-US" sz="1000" b="0" i="0" u="none" strike="noStrike">
            <a:solidFill>
              <a:schemeClr val="bg1"/>
            </a:solidFill>
            <a:latin typeface="Calibri"/>
            <a:ea typeface="+mn-ea"/>
            <a:cs typeface="Calibri"/>
          </a:endParaRPr>
        </a:p>
      </xdr:txBody>
    </xdr:sp>
    <xdr:clientData/>
  </xdr:twoCellAnchor>
  <xdr:twoCellAnchor>
    <xdr:from>
      <xdr:col>7</xdr:col>
      <xdr:colOff>367145</xdr:colOff>
      <xdr:row>12</xdr:row>
      <xdr:rowOff>83126</xdr:rowOff>
    </xdr:from>
    <xdr:to>
      <xdr:col>8</xdr:col>
      <xdr:colOff>34636</xdr:colOff>
      <xdr:row>13</xdr:row>
      <xdr:rowOff>124690</xdr:rowOff>
    </xdr:to>
    <xdr:sp macro="" textlink="">
      <xdr:nvSpPr>
        <xdr:cNvPr id="58" name="Rectangle 57">
          <a:extLst>
            <a:ext uri="{FF2B5EF4-FFF2-40B4-BE49-F238E27FC236}">
              <a16:creationId xmlns:a16="http://schemas.microsoft.com/office/drawing/2014/main" id="{00000000-0008-0000-0400-00003A000000}"/>
            </a:ext>
          </a:extLst>
        </xdr:cNvPr>
        <xdr:cNvSpPr/>
      </xdr:nvSpPr>
      <xdr:spPr>
        <a:xfrm>
          <a:off x="4634345" y="2277686"/>
          <a:ext cx="277091" cy="224444"/>
        </a:xfrm>
        <a:prstGeom prst="rect">
          <a:avLst/>
        </a:prstGeom>
        <a:solidFill>
          <a:srgbClr val="140C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52640</xdr:colOff>
      <xdr:row>19</xdr:row>
      <xdr:rowOff>12920</xdr:rowOff>
    </xdr:from>
    <xdr:to>
      <xdr:col>20</xdr:col>
      <xdr:colOff>412458</xdr:colOff>
      <xdr:row>30</xdr:row>
      <xdr:rowOff>114561</xdr:rowOff>
    </xdr:to>
    <xdr:grpSp>
      <xdr:nvGrpSpPr>
        <xdr:cNvPr id="59" name="Group 58">
          <a:extLst>
            <a:ext uri="{FF2B5EF4-FFF2-40B4-BE49-F238E27FC236}">
              <a16:creationId xmlns:a16="http://schemas.microsoft.com/office/drawing/2014/main" id="{00000000-0008-0000-0400-00003B000000}"/>
            </a:ext>
          </a:extLst>
        </xdr:cNvPr>
        <xdr:cNvGrpSpPr/>
      </xdr:nvGrpSpPr>
      <xdr:grpSpPr>
        <a:xfrm>
          <a:off x="10493177" y="3470353"/>
          <a:ext cx="2202266" cy="2103312"/>
          <a:chOff x="10161374" y="3194670"/>
          <a:chExt cx="2488734" cy="2393708"/>
        </a:xfrm>
      </xdr:grpSpPr>
      <xdr:sp macro="" textlink="">
        <xdr:nvSpPr>
          <xdr:cNvPr id="60" name="Oval 59">
            <a:extLst>
              <a:ext uri="{FF2B5EF4-FFF2-40B4-BE49-F238E27FC236}">
                <a16:creationId xmlns:a16="http://schemas.microsoft.com/office/drawing/2014/main" id="{00000000-0008-0000-0400-00003C000000}"/>
              </a:ext>
            </a:extLst>
          </xdr:cNvPr>
          <xdr:cNvSpPr/>
        </xdr:nvSpPr>
        <xdr:spPr>
          <a:xfrm>
            <a:off x="10609203" y="3585072"/>
            <a:ext cx="1593076" cy="1612904"/>
          </a:xfrm>
          <a:prstGeom prst="ellipse">
            <a:avLst/>
          </a:prstGeom>
          <a:gradFill>
            <a:gsLst>
              <a:gs pos="0">
                <a:srgbClr val="00719C"/>
              </a:gs>
              <a:gs pos="97000">
                <a:srgbClr val="003950"/>
              </a:gs>
            </a:gsLst>
            <a:path path="circle">
              <a:fillToRect r="100000" b="100000"/>
            </a:path>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61" name="Group 60">
            <a:extLst>
              <a:ext uri="{FF2B5EF4-FFF2-40B4-BE49-F238E27FC236}">
                <a16:creationId xmlns:a16="http://schemas.microsoft.com/office/drawing/2014/main" id="{00000000-0008-0000-0400-00003D000000}"/>
              </a:ext>
            </a:extLst>
          </xdr:cNvPr>
          <xdr:cNvGrpSpPr/>
        </xdr:nvGrpSpPr>
        <xdr:grpSpPr>
          <a:xfrm>
            <a:off x="10161374" y="3194670"/>
            <a:ext cx="2488734" cy="2393708"/>
            <a:chOff x="13002937" y="3612920"/>
            <a:chExt cx="2488734" cy="2393708"/>
          </a:xfrm>
        </xdr:grpSpPr>
        <xdr:graphicFrame macro="">
          <xdr:nvGraphicFramePr>
            <xdr:cNvPr id="63" name="Chart 62">
              <a:extLst>
                <a:ext uri="{FF2B5EF4-FFF2-40B4-BE49-F238E27FC236}">
                  <a16:creationId xmlns:a16="http://schemas.microsoft.com/office/drawing/2014/main" id="{00000000-0008-0000-0400-00003F000000}"/>
                </a:ext>
              </a:extLst>
            </xdr:cNvPr>
            <xdr:cNvGraphicFramePr/>
          </xdr:nvGraphicFramePr>
          <xdr:xfrm>
            <a:off x="13195463" y="3745769"/>
            <a:ext cx="2103682" cy="212801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4" name="Chart 63">
              <a:extLst>
                <a:ext uri="{FF2B5EF4-FFF2-40B4-BE49-F238E27FC236}">
                  <a16:creationId xmlns:a16="http://schemas.microsoft.com/office/drawing/2014/main" id="{00000000-0008-0000-0400-000040000000}"/>
                </a:ext>
              </a:extLst>
            </xdr:cNvPr>
            <xdr:cNvGraphicFramePr/>
          </xdr:nvGraphicFramePr>
          <xdr:xfrm>
            <a:off x="13002937" y="3612920"/>
            <a:ext cx="2488734" cy="2393708"/>
          </xdr:xfrm>
          <a:graphic>
            <a:graphicData uri="http://schemas.openxmlformats.org/drawingml/2006/chart">
              <c:chart xmlns:c="http://schemas.openxmlformats.org/drawingml/2006/chart" xmlns:r="http://schemas.openxmlformats.org/officeDocument/2006/relationships" r:id="rId2"/>
            </a:graphicData>
          </a:graphic>
        </xdr:graphicFrame>
      </xdr:grpSp>
      <xdr:sp macro="" textlink="Processing!B64">
        <xdr:nvSpPr>
          <xdr:cNvPr id="62" name="Овал 12">
            <a:extLst>
              <a:ext uri="{FF2B5EF4-FFF2-40B4-BE49-F238E27FC236}">
                <a16:creationId xmlns:a16="http://schemas.microsoft.com/office/drawing/2014/main" id="{00000000-0008-0000-0400-00003E000000}"/>
              </a:ext>
            </a:extLst>
          </xdr:cNvPr>
          <xdr:cNvSpPr/>
        </xdr:nvSpPr>
        <xdr:spPr>
          <a:xfrm>
            <a:off x="10852379" y="3832079"/>
            <a:ext cx="1106725" cy="1118890"/>
          </a:xfrm>
          <a:prstGeom prst="ellipse">
            <a:avLst/>
          </a:prstGeom>
          <a:gradFill flip="none" rotWithShape="1">
            <a:gsLst>
              <a:gs pos="47000">
                <a:srgbClr val="25313F"/>
              </a:gs>
              <a:gs pos="56000">
                <a:srgbClr val="1C2530"/>
              </a:gs>
              <a:gs pos="100000">
                <a:srgbClr val="262626">
                  <a:alpha val="0"/>
                </a:srgb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0A3A29F-92D9-4057-9E2B-1D5EADD1F0B0}" type="TxLink">
              <a:rPr lang="en-US" sz="1400" b="0" i="0" u="none" strike="noStrike">
                <a:solidFill>
                  <a:schemeClr val="bg1"/>
                </a:solidFill>
                <a:latin typeface="Calibri"/>
                <a:ea typeface="+mn-ea"/>
                <a:cs typeface="Calibri"/>
              </a:rPr>
              <a:pPr marL="0" indent="0" algn="ctr"/>
              <a:t>$402K</a:t>
            </a:fld>
            <a:endParaRPr lang="en-US" sz="1400" b="0" i="0" u="none" strike="noStrike">
              <a:solidFill>
                <a:schemeClr val="bg1"/>
              </a:solidFill>
              <a:latin typeface="Calibri"/>
              <a:ea typeface="+mn-ea"/>
              <a:cs typeface="Calibri"/>
            </a:endParaRPr>
          </a:p>
        </xdr:txBody>
      </xdr:sp>
    </xdr:grpSp>
    <xdr:clientData/>
  </xdr:twoCellAnchor>
  <xdr:twoCellAnchor>
    <xdr:from>
      <xdr:col>16</xdr:col>
      <xdr:colOff>589311</xdr:colOff>
      <xdr:row>29</xdr:row>
      <xdr:rowOff>180236</xdr:rowOff>
    </xdr:from>
    <xdr:to>
      <xdr:col>18</xdr:col>
      <xdr:colOff>381124</xdr:colOff>
      <xdr:row>31</xdr:row>
      <xdr:rowOff>155298</xdr:rowOff>
    </xdr:to>
    <xdr:sp macro="" textlink="Processing!A60">
      <xdr:nvSpPr>
        <xdr:cNvPr id="65" name="TextBox 64">
          <a:extLst>
            <a:ext uri="{FF2B5EF4-FFF2-40B4-BE49-F238E27FC236}">
              <a16:creationId xmlns:a16="http://schemas.microsoft.com/office/drawing/2014/main" id="{00000000-0008-0000-0400-000041000000}"/>
            </a:ext>
          </a:extLst>
        </xdr:cNvPr>
        <xdr:cNvSpPr txBox="1"/>
      </xdr:nvSpPr>
      <xdr:spPr>
        <a:xfrm>
          <a:off x="10342911" y="5483756"/>
          <a:ext cx="1011013" cy="34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D27F17-C70F-4B58-A09F-BE93BB1D6B86}" type="TxLink">
            <a:rPr lang="en-US" sz="1000" b="0" i="0" u="none" strike="noStrike">
              <a:solidFill>
                <a:schemeClr val="tx2">
                  <a:lumMod val="60000"/>
                  <a:lumOff val="40000"/>
                </a:schemeClr>
              </a:solidFill>
              <a:latin typeface="Calibri"/>
              <a:ea typeface="+mn-ea"/>
              <a:cs typeface="Calibri"/>
            </a:rPr>
            <a:pPr marL="0" indent="0"/>
            <a:t>Consumer</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16</xdr:col>
      <xdr:colOff>589311</xdr:colOff>
      <xdr:row>31</xdr:row>
      <xdr:rowOff>88893</xdr:rowOff>
    </xdr:from>
    <xdr:to>
      <xdr:col>18</xdr:col>
      <xdr:colOff>381124</xdr:colOff>
      <xdr:row>33</xdr:row>
      <xdr:rowOff>63956</xdr:rowOff>
    </xdr:to>
    <xdr:sp macro="" textlink="Processing!A61">
      <xdr:nvSpPr>
        <xdr:cNvPr id="66" name="TextBox 65">
          <a:extLst>
            <a:ext uri="{FF2B5EF4-FFF2-40B4-BE49-F238E27FC236}">
              <a16:creationId xmlns:a16="http://schemas.microsoft.com/office/drawing/2014/main" id="{00000000-0008-0000-0400-000042000000}"/>
            </a:ext>
          </a:extLst>
        </xdr:cNvPr>
        <xdr:cNvSpPr txBox="1"/>
      </xdr:nvSpPr>
      <xdr:spPr>
        <a:xfrm>
          <a:off x="10342911" y="5758173"/>
          <a:ext cx="1011013" cy="340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EA69B69-DDE5-4880-B7F3-B81E938A648E}" type="TxLink">
            <a:rPr lang="en-US" sz="1000" b="0" i="0" u="none" strike="noStrike">
              <a:solidFill>
                <a:schemeClr val="tx2">
                  <a:lumMod val="60000"/>
                  <a:lumOff val="40000"/>
                </a:schemeClr>
              </a:solidFill>
              <a:latin typeface="Calibri"/>
              <a:ea typeface="+mn-ea"/>
              <a:cs typeface="Calibri"/>
            </a:rPr>
            <a:pPr marL="0" indent="0"/>
            <a:t>Corporate</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16</xdr:col>
      <xdr:colOff>589311</xdr:colOff>
      <xdr:row>32</xdr:row>
      <xdr:rowOff>179312</xdr:rowOff>
    </xdr:from>
    <xdr:to>
      <xdr:col>18</xdr:col>
      <xdr:colOff>381124</xdr:colOff>
      <xdr:row>34</xdr:row>
      <xdr:rowOff>154374</xdr:rowOff>
    </xdr:to>
    <xdr:sp macro="" textlink="Processing!A62">
      <xdr:nvSpPr>
        <xdr:cNvPr id="67" name="TextBox 66">
          <a:extLst>
            <a:ext uri="{FF2B5EF4-FFF2-40B4-BE49-F238E27FC236}">
              <a16:creationId xmlns:a16="http://schemas.microsoft.com/office/drawing/2014/main" id="{00000000-0008-0000-0400-000043000000}"/>
            </a:ext>
          </a:extLst>
        </xdr:cNvPr>
        <xdr:cNvSpPr txBox="1"/>
      </xdr:nvSpPr>
      <xdr:spPr>
        <a:xfrm>
          <a:off x="10342911" y="6031472"/>
          <a:ext cx="1011013" cy="34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CE2048-4EAA-48C7-9487-E83B6DDB333B}" type="TxLink">
            <a:rPr lang="en-US" sz="1000" b="0" i="0" u="none" strike="noStrike">
              <a:solidFill>
                <a:schemeClr val="tx2">
                  <a:lumMod val="60000"/>
                  <a:lumOff val="40000"/>
                </a:schemeClr>
              </a:solidFill>
              <a:latin typeface="Calibri"/>
              <a:ea typeface="+mn-ea"/>
              <a:cs typeface="Calibri"/>
            </a:rPr>
            <a:pPr marL="0" indent="0"/>
            <a:t>Enterprise</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16</xdr:col>
      <xdr:colOff>589311</xdr:colOff>
      <xdr:row>34</xdr:row>
      <xdr:rowOff>87970</xdr:rowOff>
    </xdr:from>
    <xdr:to>
      <xdr:col>18</xdr:col>
      <xdr:colOff>381124</xdr:colOff>
      <xdr:row>36</xdr:row>
      <xdr:rowOff>63032</xdr:rowOff>
    </xdr:to>
    <xdr:sp macro="" textlink="Processing!A63">
      <xdr:nvSpPr>
        <xdr:cNvPr id="68" name="TextBox 67">
          <a:extLst>
            <a:ext uri="{FF2B5EF4-FFF2-40B4-BE49-F238E27FC236}">
              <a16:creationId xmlns:a16="http://schemas.microsoft.com/office/drawing/2014/main" id="{00000000-0008-0000-0400-000044000000}"/>
            </a:ext>
          </a:extLst>
        </xdr:cNvPr>
        <xdr:cNvSpPr txBox="1"/>
      </xdr:nvSpPr>
      <xdr:spPr>
        <a:xfrm>
          <a:off x="10342911" y="6305890"/>
          <a:ext cx="1011013" cy="34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870A57-CD64-4F98-8518-0CD41AD7C3AD}" type="TxLink">
            <a:rPr lang="en-US" sz="1000" b="0" i="0" u="none" strike="noStrike">
              <a:solidFill>
                <a:schemeClr val="tx2">
                  <a:lumMod val="60000"/>
                  <a:lumOff val="40000"/>
                </a:schemeClr>
              </a:solidFill>
              <a:latin typeface="Calibri"/>
              <a:ea typeface="+mn-ea"/>
              <a:cs typeface="Calibri"/>
            </a:rPr>
            <a:pPr marL="0" indent="0"/>
            <a:t>Retail</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494863</xdr:colOff>
      <xdr:row>29</xdr:row>
      <xdr:rowOff>180236</xdr:rowOff>
    </xdr:from>
    <xdr:to>
      <xdr:col>19</xdr:col>
      <xdr:colOff>455953</xdr:colOff>
      <xdr:row>31</xdr:row>
      <xdr:rowOff>155298</xdr:rowOff>
    </xdr:to>
    <xdr:sp macro="" textlink="Processing!C60">
      <xdr:nvSpPr>
        <xdr:cNvPr id="69" name="TextBox 68">
          <a:extLst>
            <a:ext uri="{FF2B5EF4-FFF2-40B4-BE49-F238E27FC236}">
              <a16:creationId xmlns:a16="http://schemas.microsoft.com/office/drawing/2014/main" id="{00000000-0008-0000-0400-000045000000}"/>
            </a:ext>
          </a:extLst>
        </xdr:cNvPr>
        <xdr:cNvSpPr txBox="1"/>
      </xdr:nvSpPr>
      <xdr:spPr>
        <a:xfrm>
          <a:off x="11467663" y="5483756"/>
          <a:ext cx="570690" cy="34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92E178-FBCD-421A-B159-9E9855096651}" type="TxLink">
            <a:rPr lang="en-US" sz="1000" b="0" i="0" u="none" strike="noStrike">
              <a:solidFill>
                <a:schemeClr val="tx2">
                  <a:lumMod val="60000"/>
                  <a:lumOff val="40000"/>
                </a:schemeClr>
              </a:solidFill>
              <a:latin typeface="Calibri"/>
              <a:ea typeface="+mn-ea"/>
              <a:cs typeface="Calibri"/>
            </a:rPr>
            <a:pPr marL="0" indent="0"/>
            <a:t>20%</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494863</xdr:colOff>
      <xdr:row>31</xdr:row>
      <xdr:rowOff>88893</xdr:rowOff>
    </xdr:from>
    <xdr:to>
      <xdr:col>19</xdr:col>
      <xdr:colOff>455953</xdr:colOff>
      <xdr:row>33</xdr:row>
      <xdr:rowOff>63956</xdr:rowOff>
    </xdr:to>
    <xdr:sp macro="" textlink="Processing!C61">
      <xdr:nvSpPr>
        <xdr:cNvPr id="70" name="TextBox 69">
          <a:extLst>
            <a:ext uri="{FF2B5EF4-FFF2-40B4-BE49-F238E27FC236}">
              <a16:creationId xmlns:a16="http://schemas.microsoft.com/office/drawing/2014/main" id="{00000000-0008-0000-0400-000046000000}"/>
            </a:ext>
          </a:extLst>
        </xdr:cNvPr>
        <xdr:cNvSpPr txBox="1"/>
      </xdr:nvSpPr>
      <xdr:spPr>
        <a:xfrm>
          <a:off x="11467663" y="5758173"/>
          <a:ext cx="570690" cy="340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79165DD-E9EE-4FAB-B3D1-78A552E70503}" type="TxLink">
            <a:rPr lang="en-US" sz="1000" b="0" i="0" u="none" strike="noStrike">
              <a:solidFill>
                <a:schemeClr val="tx2">
                  <a:lumMod val="60000"/>
                  <a:lumOff val="40000"/>
                </a:schemeClr>
              </a:solidFill>
              <a:latin typeface="Calibri"/>
              <a:ea typeface="+mn-ea"/>
              <a:cs typeface="Calibri"/>
            </a:rPr>
            <a:pPr marL="0" indent="0"/>
            <a:t>21%</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494863</xdr:colOff>
      <xdr:row>32</xdr:row>
      <xdr:rowOff>179312</xdr:rowOff>
    </xdr:from>
    <xdr:to>
      <xdr:col>19</xdr:col>
      <xdr:colOff>455953</xdr:colOff>
      <xdr:row>34</xdr:row>
      <xdr:rowOff>154374</xdr:rowOff>
    </xdr:to>
    <xdr:sp macro="" textlink="Processing!C62">
      <xdr:nvSpPr>
        <xdr:cNvPr id="71" name="TextBox 70">
          <a:extLst>
            <a:ext uri="{FF2B5EF4-FFF2-40B4-BE49-F238E27FC236}">
              <a16:creationId xmlns:a16="http://schemas.microsoft.com/office/drawing/2014/main" id="{00000000-0008-0000-0400-000047000000}"/>
            </a:ext>
          </a:extLst>
        </xdr:cNvPr>
        <xdr:cNvSpPr txBox="1"/>
      </xdr:nvSpPr>
      <xdr:spPr>
        <a:xfrm>
          <a:off x="11467663" y="6031472"/>
          <a:ext cx="570690" cy="34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D21D42B-74F5-410B-BA08-470EF0498875}" type="TxLink">
            <a:rPr lang="en-US" sz="1000" b="0" i="0" u="none" strike="noStrike">
              <a:solidFill>
                <a:schemeClr val="tx2">
                  <a:lumMod val="60000"/>
                  <a:lumOff val="40000"/>
                </a:schemeClr>
              </a:solidFill>
              <a:latin typeface="Calibri"/>
              <a:ea typeface="+mn-ea"/>
              <a:cs typeface="Calibri"/>
            </a:rPr>
            <a:pPr marL="0" indent="0"/>
            <a:t>19%</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18</xdr:col>
      <xdr:colOff>494863</xdr:colOff>
      <xdr:row>34</xdr:row>
      <xdr:rowOff>87970</xdr:rowOff>
    </xdr:from>
    <xdr:to>
      <xdr:col>19</xdr:col>
      <xdr:colOff>455953</xdr:colOff>
      <xdr:row>36</xdr:row>
      <xdr:rowOff>63032</xdr:rowOff>
    </xdr:to>
    <xdr:sp macro="" textlink="Processing!C63">
      <xdr:nvSpPr>
        <xdr:cNvPr id="72" name="TextBox 71">
          <a:extLst>
            <a:ext uri="{FF2B5EF4-FFF2-40B4-BE49-F238E27FC236}">
              <a16:creationId xmlns:a16="http://schemas.microsoft.com/office/drawing/2014/main" id="{00000000-0008-0000-0400-000048000000}"/>
            </a:ext>
          </a:extLst>
        </xdr:cNvPr>
        <xdr:cNvSpPr txBox="1"/>
      </xdr:nvSpPr>
      <xdr:spPr>
        <a:xfrm>
          <a:off x="11467663" y="6305890"/>
          <a:ext cx="570690" cy="34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1D78073-B69F-401E-88AB-D617FEE82B09}" type="TxLink">
            <a:rPr lang="en-US" sz="1000" b="0" i="0" u="none" strike="noStrike">
              <a:solidFill>
                <a:schemeClr val="tx2">
                  <a:lumMod val="60000"/>
                  <a:lumOff val="40000"/>
                </a:schemeClr>
              </a:solidFill>
              <a:latin typeface="Calibri"/>
              <a:ea typeface="+mn-ea"/>
              <a:cs typeface="Calibri"/>
            </a:rPr>
            <a:pPr marL="0" indent="0"/>
            <a:t>40%</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375951</xdr:colOff>
      <xdr:row>29</xdr:row>
      <xdr:rowOff>180236</xdr:rowOff>
    </xdr:from>
    <xdr:to>
      <xdr:col>20</xdr:col>
      <xdr:colOff>598911</xdr:colOff>
      <xdr:row>31</xdr:row>
      <xdr:rowOff>155298</xdr:rowOff>
    </xdr:to>
    <xdr:sp macro="" textlink="Processing!B60">
      <xdr:nvSpPr>
        <xdr:cNvPr id="73" name="TextBox 72">
          <a:extLst>
            <a:ext uri="{FF2B5EF4-FFF2-40B4-BE49-F238E27FC236}">
              <a16:creationId xmlns:a16="http://schemas.microsoft.com/office/drawing/2014/main" id="{00000000-0008-0000-0400-000049000000}"/>
            </a:ext>
          </a:extLst>
        </xdr:cNvPr>
        <xdr:cNvSpPr txBox="1"/>
      </xdr:nvSpPr>
      <xdr:spPr>
        <a:xfrm>
          <a:off x="11958351" y="5483756"/>
          <a:ext cx="832560" cy="34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3DE8292D-29C8-4593-A571-35CBCA60A324}" type="TxLink">
            <a:rPr lang="en-US" sz="1000" b="0" i="0" u="none" strike="noStrike">
              <a:solidFill>
                <a:schemeClr val="tx2">
                  <a:lumMod val="60000"/>
                  <a:lumOff val="40000"/>
                </a:schemeClr>
              </a:solidFill>
              <a:latin typeface="Calibri"/>
              <a:ea typeface="+mn-ea"/>
              <a:cs typeface="Calibri"/>
            </a:rPr>
            <a:pPr marL="0" indent="0" algn="r"/>
            <a:t> $79 124 </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368331</xdr:colOff>
      <xdr:row>31</xdr:row>
      <xdr:rowOff>88893</xdr:rowOff>
    </xdr:from>
    <xdr:to>
      <xdr:col>20</xdr:col>
      <xdr:colOff>598911</xdr:colOff>
      <xdr:row>33</xdr:row>
      <xdr:rowOff>63956</xdr:rowOff>
    </xdr:to>
    <xdr:sp macro="" textlink="Processing!B61">
      <xdr:nvSpPr>
        <xdr:cNvPr id="74" name="TextBox 73">
          <a:extLst>
            <a:ext uri="{FF2B5EF4-FFF2-40B4-BE49-F238E27FC236}">
              <a16:creationId xmlns:a16="http://schemas.microsoft.com/office/drawing/2014/main" id="{00000000-0008-0000-0400-00004A000000}"/>
            </a:ext>
          </a:extLst>
        </xdr:cNvPr>
        <xdr:cNvSpPr txBox="1"/>
      </xdr:nvSpPr>
      <xdr:spPr>
        <a:xfrm>
          <a:off x="11950731" y="5758173"/>
          <a:ext cx="840180" cy="340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7F38A6D1-4B9C-4452-A8EE-B0D85888E2CE}" type="TxLink">
            <a:rPr lang="en-US" sz="1000" b="0" i="0" u="none" strike="noStrike">
              <a:solidFill>
                <a:schemeClr val="tx2">
                  <a:lumMod val="60000"/>
                  <a:lumOff val="40000"/>
                </a:schemeClr>
              </a:solidFill>
              <a:latin typeface="Calibri"/>
              <a:ea typeface="+mn-ea"/>
              <a:cs typeface="Calibri"/>
            </a:rPr>
            <a:pPr marL="0" indent="0" algn="r"/>
            <a:t> $85 563 </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337851</xdr:colOff>
      <xdr:row>32</xdr:row>
      <xdr:rowOff>179312</xdr:rowOff>
    </xdr:from>
    <xdr:to>
      <xdr:col>20</xdr:col>
      <xdr:colOff>598911</xdr:colOff>
      <xdr:row>34</xdr:row>
      <xdr:rowOff>154374</xdr:rowOff>
    </xdr:to>
    <xdr:sp macro="" textlink="Processing!B62">
      <xdr:nvSpPr>
        <xdr:cNvPr id="75" name="TextBox 74">
          <a:extLst>
            <a:ext uri="{FF2B5EF4-FFF2-40B4-BE49-F238E27FC236}">
              <a16:creationId xmlns:a16="http://schemas.microsoft.com/office/drawing/2014/main" id="{00000000-0008-0000-0400-00004B000000}"/>
            </a:ext>
          </a:extLst>
        </xdr:cNvPr>
        <xdr:cNvSpPr txBox="1"/>
      </xdr:nvSpPr>
      <xdr:spPr>
        <a:xfrm>
          <a:off x="11920251" y="6031472"/>
          <a:ext cx="870660" cy="34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FC5DA05C-AADF-4200-AFBA-94A6CEC2DBE8}" type="TxLink">
            <a:rPr lang="en-US" sz="1000" b="0" i="0" u="none" strike="noStrike">
              <a:solidFill>
                <a:schemeClr val="tx2">
                  <a:lumMod val="60000"/>
                  <a:lumOff val="40000"/>
                </a:schemeClr>
              </a:solidFill>
              <a:latin typeface="Calibri"/>
              <a:ea typeface="+mn-ea"/>
              <a:cs typeface="Calibri"/>
            </a:rPr>
            <a:pPr marL="0" indent="0" algn="r"/>
            <a:t> $75 438 </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19</xdr:col>
      <xdr:colOff>337851</xdr:colOff>
      <xdr:row>34</xdr:row>
      <xdr:rowOff>87970</xdr:rowOff>
    </xdr:from>
    <xdr:to>
      <xdr:col>20</xdr:col>
      <xdr:colOff>598911</xdr:colOff>
      <xdr:row>36</xdr:row>
      <xdr:rowOff>63032</xdr:rowOff>
    </xdr:to>
    <xdr:sp macro="" textlink="Processing!B63">
      <xdr:nvSpPr>
        <xdr:cNvPr id="76" name="TextBox 75">
          <a:extLst>
            <a:ext uri="{FF2B5EF4-FFF2-40B4-BE49-F238E27FC236}">
              <a16:creationId xmlns:a16="http://schemas.microsoft.com/office/drawing/2014/main" id="{00000000-0008-0000-0400-00004C000000}"/>
            </a:ext>
          </a:extLst>
        </xdr:cNvPr>
        <xdr:cNvSpPr txBox="1"/>
      </xdr:nvSpPr>
      <xdr:spPr>
        <a:xfrm>
          <a:off x="11920251" y="6305890"/>
          <a:ext cx="870660" cy="340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21CD45A7-6694-4D40-9404-5EC1D427075C}" type="TxLink">
            <a:rPr lang="en-US" sz="1000" b="0" i="0" u="none" strike="noStrike">
              <a:solidFill>
                <a:schemeClr val="tx2">
                  <a:lumMod val="60000"/>
                  <a:lumOff val="40000"/>
                </a:schemeClr>
              </a:solidFill>
              <a:latin typeface="Calibri"/>
              <a:ea typeface="+mn-ea"/>
              <a:cs typeface="Calibri"/>
            </a:rPr>
            <a:pPr marL="0" indent="0" algn="r"/>
            <a:t> $161 540 </a:t>
          </a:fld>
          <a:endParaRPr lang="ru-RU" sz="1000" b="0" i="0" u="none" strike="noStrike">
            <a:solidFill>
              <a:schemeClr val="tx2">
                <a:lumMod val="60000"/>
                <a:lumOff val="40000"/>
              </a:schemeClr>
            </a:solidFill>
            <a:latin typeface="Calibri"/>
            <a:ea typeface="+mn-ea"/>
            <a:cs typeface="Calibri"/>
          </a:endParaRPr>
        </a:p>
      </xdr:txBody>
    </xdr:sp>
    <xdr:clientData/>
  </xdr:twoCellAnchor>
  <xdr:twoCellAnchor>
    <xdr:from>
      <xdr:col>17</xdr:col>
      <xdr:colOff>63595</xdr:colOff>
      <xdr:row>31</xdr:row>
      <xdr:rowOff>77396</xdr:rowOff>
    </xdr:from>
    <xdr:to>
      <xdr:col>20</xdr:col>
      <xdr:colOff>519397</xdr:colOff>
      <xdr:row>31</xdr:row>
      <xdr:rowOff>77396</xdr:rowOff>
    </xdr:to>
    <xdr:cxnSp macro="">
      <xdr:nvCxnSpPr>
        <xdr:cNvPr id="77" name="Straight Connector 76">
          <a:extLst>
            <a:ext uri="{FF2B5EF4-FFF2-40B4-BE49-F238E27FC236}">
              <a16:creationId xmlns:a16="http://schemas.microsoft.com/office/drawing/2014/main" id="{00000000-0008-0000-0400-00004D000000}"/>
            </a:ext>
          </a:extLst>
        </xdr:cNvPr>
        <xdr:cNvCxnSpPr/>
      </xdr:nvCxnSpPr>
      <xdr:spPr>
        <a:xfrm>
          <a:off x="10403026" y="5712002"/>
          <a:ext cx="2280408" cy="0"/>
        </a:xfrm>
        <a:prstGeom prst="line">
          <a:avLst/>
        </a:prstGeom>
        <a:ln>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63595</xdr:colOff>
      <xdr:row>32</xdr:row>
      <xdr:rowOff>166916</xdr:rowOff>
    </xdr:from>
    <xdr:to>
      <xdr:col>20</xdr:col>
      <xdr:colOff>519397</xdr:colOff>
      <xdr:row>32</xdr:row>
      <xdr:rowOff>166916</xdr:rowOff>
    </xdr:to>
    <xdr:cxnSp macro="">
      <xdr:nvCxnSpPr>
        <xdr:cNvPr id="78" name="Straight Connector 77">
          <a:extLst>
            <a:ext uri="{FF2B5EF4-FFF2-40B4-BE49-F238E27FC236}">
              <a16:creationId xmlns:a16="http://schemas.microsoft.com/office/drawing/2014/main" id="{00000000-0008-0000-0400-00004E000000}"/>
            </a:ext>
          </a:extLst>
        </xdr:cNvPr>
        <xdr:cNvCxnSpPr/>
      </xdr:nvCxnSpPr>
      <xdr:spPr>
        <a:xfrm>
          <a:off x="10426795" y="6019076"/>
          <a:ext cx="2284602" cy="0"/>
        </a:xfrm>
        <a:prstGeom prst="line">
          <a:avLst/>
        </a:prstGeom>
        <a:ln>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63595</xdr:colOff>
      <xdr:row>34</xdr:row>
      <xdr:rowOff>74673</xdr:rowOff>
    </xdr:from>
    <xdr:to>
      <xdr:col>20</xdr:col>
      <xdr:colOff>519397</xdr:colOff>
      <xdr:row>34</xdr:row>
      <xdr:rowOff>74673</xdr:rowOff>
    </xdr:to>
    <xdr:cxnSp macro="">
      <xdr:nvCxnSpPr>
        <xdr:cNvPr id="79" name="Straight Connector 78">
          <a:extLst>
            <a:ext uri="{FF2B5EF4-FFF2-40B4-BE49-F238E27FC236}">
              <a16:creationId xmlns:a16="http://schemas.microsoft.com/office/drawing/2014/main" id="{00000000-0008-0000-0400-00004F000000}"/>
            </a:ext>
          </a:extLst>
        </xdr:cNvPr>
        <xdr:cNvCxnSpPr/>
      </xdr:nvCxnSpPr>
      <xdr:spPr>
        <a:xfrm>
          <a:off x="10426795" y="6292593"/>
          <a:ext cx="2284602" cy="0"/>
        </a:xfrm>
        <a:prstGeom prst="line">
          <a:avLst/>
        </a:prstGeom>
        <a:ln>
          <a:solidFill>
            <a:schemeClr val="tx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590470</xdr:colOff>
      <xdr:row>18</xdr:row>
      <xdr:rowOff>148751</xdr:rowOff>
    </xdr:from>
    <xdr:to>
      <xdr:col>20</xdr:col>
      <xdr:colOff>440421</xdr:colOff>
      <xdr:row>21</xdr:row>
      <xdr:rowOff>167715</xdr:rowOff>
    </xdr:to>
    <xdr:sp macro="" textlink="Processing!A59">
      <xdr:nvSpPr>
        <xdr:cNvPr id="80" name="TextBox 79">
          <a:extLst>
            <a:ext uri="{FF2B5EF4-FFF2-40B4-BE49-F238E27FC236}">
              <a16:creationId xmlns:a16="http://schemas.microsoft.com/office/drawing/2014/main" id="{00000000-0008-0000-0400-000050000000}"/>
            </a:ext>
          </a:extLst>
        </xdr:cNvPr>
        <xdr:cNvSpPr txBox="1"/>
      </xdr:nvSpPr>
      <xdr:spPr>
        <a:xfrm>
          <a:off x="10344070" y="3440591"/>
          <a:ext cx="2288351" cy="567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FEB1C1-458D-48B4-B2C5-9945C762B648}" type="TxLink">
            <a:rPr lang="en-US" sz="1400" b="0" i="1" u="none" strike="noStrike">
              <a:solidFill>
                <a:schemeClr val="bg1"/>
              </a:solidFill>
              <a:latin typeface="Aptos Narrow"/>
              <a:ea typeface="+mn-ea"/>
              <a:cs typeface="+mn-cs"/>
            </a:rPr>
            <a:pPr marL="0" indent="0"/>
            <a:t>Revenue by Department</a:t>
          </a:fld>
          <a:endParaRPr lang="ru-RU" sz="1400" b="0" i="1" u="none" strike="noStrike">
            <a:solidFill>
              <a:schemeClr val="bg1"/>
            </a:solidFill>
            <a:latin typeface="Aptos Narrow"/>
            <a:ea typeface="+mn-ea"/>
            <a:cs typeface="+mn-cs"/>
          </a:endParaRPr>
        </a:p>
      </xdr:txBody>
    </xdr:sp>
    <xdr:clientData/>
  </xdr:twoCellAnchor>
  <xdr:twoCellAnchor>
    <xdr:from>
      <xdr:col>8</xdr:col>
      <xdr:colOff>527680</xdr:colOff>
      <xdr:row>13</xdr:row>
      <xdr:rowOff>55263</xdr:rowOff>
    </xdr:from>
    <xdr:to>
      <xdr:col>12</xdr:col>
      <xdr:colOff>447412</xdr:colOff>
      <xdr:row>26</xdr:row>
      <xdr:rowOff>72890</xdr:rowOff>
    </xdr:to>
    <xdr:grpSp>
      <xdr:nvGrpSpPr>
        <xdr:cNvPr id="81" name="Group 80">
          <a:extLst>
            <a:ext uri="{FF2B5EF4-FFF2-40B4-BE49-F238E27FC236}">
              <a16:creationId xmlns:a16="http://schemas.microsoft.com/office/drawing/2014/main" id="{00000000-0008-0000-0400-000051000000}"/>
            </a:ext>
          </a:extLst>
        </xdr:cNvPr>
        <xdr:cNvGrpSpPr/>
      </xdr:nvGrpSpPr>
      <xdr:grpSpPr>
        <a:xfrm>
          <a:off x="5440874" y="2420875"/>
          <a:ext cx="2376329" cy="2383239"/>
          <a:chOff x="10183091" y="1023835"/>
          <a:chExt cx="1920240" cy="1920240"/>
        </a:xfrm>
      </xdr:grpSpPr>
      <xdr:graphicFrame macro="">
        <xdr:nvGraphicFramePr>
          <xdr:cNvPr id="82" name="Chart 81">
            <a:extLst>
              <a:ext uri="{FF2B5EF4-FFF2-40B4-BE49-F238E27FC236}">
                <a16:creationId xmlns:a16="http://schemas.microsoft.com/office/drawing/2014/main" id="{00000000-0008-0000-0400-000052000000}"/>
              </a:ext>
            </a:extLst>
          </xdr:cNvPr>
          <xdr:cNvGraphicFramePr>
            <a:graphicFrameLocks/>
          </xdr:cNvGraphicFramePr>
        </xdr:nvGraphicFramePr>
        <xdr:xfrm>
          <a:off x="10183091" y="1023835"/>
          <a:ext cx="1920240" cy="192024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83" name="Oval 82">
            <a:extLst>
              <a:ext uri="{FF2B5EF4-FFF2-40B4-BE49-F238E27FC236}">
                <a16:creationId xmlns:a16="http://schemas.microsoft.com/office/drawing/2014/main" id="{00000000-0008-0000-0400-000053000000}"/>
              </a:ext>
            </a:extLst>
          </xdr:cNvPr>
          <xdr:cNvSpPr/>
        </xdr:nvSpPr>
        <xdr:spPr>
          <a:xfrm>
            <a:off x="10537918" y="1378662"/>
            <a:ext cx="1210586" cy="1210586"/>
          </a:xfrm>
          <a:prstGeom prst="ellipse">
            <a:avLst/>
          </a:prstGeom>
          <a:gradFill>
            <a:gsLst>
              <a:gs pos="44000">
                <a:srgbClr val="050714"/>
              </a:gs>
              <a:gs pos="52000">
                <a:srgbClr val="050714">
                  <a:alpha val="88000"/>
                </a:srgbClr>
              </a:gs>
              <a:gs pos="85000">
                <a:srgbClr val="050714">
                  <a:alpha val="0"/>
                </a:srgbClr>
              </a:gs>
            </a:gsLst>
            <a:path path="circle">
              <a:fillToRect l="50000" t="50000" r="50000" b="50000"/>
            </a:path>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9</xdr:col>
      <xdr:colOff>400472</xdr:colOff>
      <xdr:row>18</xdr:row>
      <xdr:rowOff>169263</xdr:rowOff>
    </xdr:from>
    <xdr:to>
      <xdr:col>11</xdr:col>
      <xdr:colOff>574620</xdr:colOff>
      <xdr:row>20</xdr:row>
      <xdr:rowOff>140652</xdr:rowOff>
    </xdr:to>
    <xdr:sp macro="" textlink="Processing!C64">
      <xdr:nvSpPr>
        <xdr:cNvPr id="84" name="TextBox 83">
          <a:extLst>
            <a:ext uri="{FF2B5EF4-FFF2-40B4-BE49-F238E27FC236}">
              <a16:creationId xmlns:a16="http://schemas.microsoft.com/office/drawing/2014/main" id="{00000000-0008-0000-0400-000054000000}"/>
            </a:ext>
          </a:extLst>
        </xdr:cNvPr>
        <xdr:cNvSpPr txBox="1"/>
      </xdr:nvSpPr>
      <xdr:spPr>
        <a:xfrm>
          <a:off x="5874289" y="3440969"/>
          <a:ext cx="1390551" cy="3349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EB0C71-49C4-4BC6-8181-3F395017A3CC}" type="TxLink">
            <a:rPr lang="en-US" sz="1800" b="0" i="1" u="none" strike="noStrike">
              <a:solidFill>
                <a:schemeClr val="bg1"/>
              </a:solidFill>
              <a:latin typeface="Aptos Narrow"/>
              <a:ea typeface="+mn-ea"/>
              <a:cs typeface="+mn-cs"/>
            </a:rPr>
            <a:pPr marL="0" indent="0" algn="ctr"/>
            <a:t> $401 665 </a:t>
          </a:fld>
          <a:endParaRPr lang="ru-RU" sz="1800" b="0" i="1" u="none" strike="noStrike">
            <a:solidFill>
              <a:schemeClr val="bg1"/>
            </a:solidFill>
            <a:latin typeface="Aptos Narrow"/>
            <a:ea typeface="+mn-ea"/>
            <a:cs typeface="+mn-cs"/>
          </a:endParaRPr>
        </a:p>
      </xdr:txBody>
    </xdr:sp>
    <xdr:clientData/>
  </xdr:twoCellAnchor>
  <xdr:twoCellAnchor>
    <xdr:from>
      <xdr:col>12</xdr:col>
      <xdr:colOff>415699</xdr:colOff>
      <xdr:row>12</xdr:row>
      <xdr:rowOff>44333</xdr:rowOff>
    </xdr:from>
    <xdr:to>
      <xdr:col>16</xdr:col>
      <xdr:colOff>484973</xdr:colOff>
      <xdr:row>15</xdr:row>
      <xdr:rowOff>61646</xdr:rowOff>
    </xdr:to>
    <xdr:sp macro="" textlink="Processing!A59">
      <xdr:nvSpPr>
        <xdr:cNvPr id="85" name="TextBox 84">
          <a:extLst>
            <a:ext uri="{FF2B5EF4-FFF2-40B4-BE49-F238E27FC236}">
              <a16:creationId xmlns:a16="http://schemas.microsoft.com/office/drawing/2014/main" id="{00000000-0008-0000-0400-000055000000}"/>
            </a:ext>
          </a:extLst>
        </xdr:cNvPr>
        <xdr:cNvSpPr txBox="1"/>
      </xdr:nvSpPr>
      <xdr:spPr>
        <a:xfrm>
          <a:off x="7730899" y="2238893"/>
          <a:ext cx="2507674" cy="565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EFEB1C1-458D-48B4-B2C5-9945C762B648}" type="TxLink">
            <a:rPr lang="en-US" sz="1800" b="0" i="1" u="none" strike="noStrike">
              <a:solidFill>
                <a:schemeClr val="bg1"/>
              </a:solidFill>
              <a:latin typeface="Aptos Narrow"/>
              <a:ea typeface="+mn-ea"/>
              <a:cs typeface="+mn-cs"/>
            </a:rPr>
            <a:pPr marL="0" indent="0"/>
            <a:t>Revenue by Department</a:t>
          </a:fld>
          <a:endParaRPr lang="ru-RU" sz="1800" b="0" i="1" u="none" strike="noStrike">
            <a:solidFill>
              <a:schemeClr val="bg1"/>
            </a:solidFill>
            <a:latin typeface="Aptos Narrow"/>
            <a:ea typeface="+mn-ea"/>
            <a:cs typeface="+mn-cs"/>
          </a:endParaRPr>
        </a:p>
      </xdr:txBody>
    </xdr:sp>
    <xdr:clientData/>
  </xdr:twoCellAnchor>
  <xdr:twoCellAnchor editAs="oneCell">
    <xdr:from>
      <xdr:col>12</xdr:col>
      <xdr:colOff>580238</xdr:colOff>
      <xdr:row>16</xdr:row>
      <xdr:rowOff>13983</xdr:rowOff>
    </xdr:from>
    <xdr:to>
      <xdr:col>14</xdr:col>
      <xdr:colOff>370511</xdr:colOff>
      <xdr:row>24</xdr:row>
      <xdr:rowOff>114371</xdr:rowOff>
    </xdr:to>
    <mc:AlternateContent xmlns:mc="http://schemas.openxmlformats.org/markup-compatibility/2006" xmlns:a14="http://schemas.microsoft.com/office/drawing/2010/main">
      <mc:Choice Requires="a14">
        <xdr:graphicFrame macro="">
          <xdr:nvGraphicFramePr>
            <xdr:cNvPr id="88" name="Sources 1">
              <a:extLst>
                <a:ext uri="{FF2B5EF4-FFF2-40B4-BE49-F238E27FC236}">
                  <a16:creationId xmlns:a16="http://schemas.microsoft.com/office/drawing/2014/main" id="{00000000-0008-0000-0400-000058000000}"/>
                </a:ext>
              </a:extLst>
            </xdr:cNvPr>
            <xdr:cNvGraphicFramePr/>
          </xdr:nvGraphicFramePr>
          <xdr:xfrm>
            <a:off x="0" y="0"/>
            <a:ext cx="0" cy="0"/>
          </xdr:xfrm>
          <a:graphic>
            <a:graphicData uri="http://schemas.microsoft.com/office/drawing/2010/slicer">
              <sle:slicer xmlns:sle="http://schemas.microsoft.com/office/drawing/2010/slicer" name="Sources 1"/>
            </a:graphicData>
          </a:graphic>
        </xdr:graphicFrame>
      </mc:Choice>
      <mc:Fallback xmlns="">
        <xdr:sp macro="" textlink="">
          <xdr:nvSpPr>
            <xdr:cNvPr id="0" name=""/>
            <xdr:cNvSpPr>
              <a:spLocks noTextEdit="1"/>
            </xdr:cNvSpPr>
          </xdr:nvSpPr>
          <xdr:spPr>
            <a:xfrm>
              <a:off x="7878660" y="2922166"/>
              <a:ext cx="1006677"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403116</xdr:colOff>
      <xdr:row>16</xdr:row>
      <xdr:rowOff>143340</xdr:rowOff>
    </xdr:from>
    <xdr:to>
      <xdr:col>12</xdr:col>
      <xdr:colOff>585996</xdr:colOff>
      <xdr:row>17</xdr:row>
      <xdr:rowOff>146111</xdr:rowOff>
    </xdr:to>
    <xdr:sp macro="" textlink="">
      <xdr:nvSpPr>
        <xdr:cNvPr id="89" name="Rectangle: Rounded Corners 88">
          <a:extLst>
            <a:ext uri="{FF2B5EF4-FFF2-40B4-BE49-F238E27FC236}">
              <a16:creationId xmlns:a16="http://schemas.microsoft.com/office/drawing/2014/main" id="{00000000-0008-0000-0400-000059000000}"/>
            </a:ext>
          </a:extLst>
        </xdr:cNvPr>
        <xdr:cNvSpPr/>
      </xdr:nvSpPr>
      <xdr:spPr>
        <a:xfrm>
          <a:off x="7718316" y="3069420"/>
          <a:ext cx="182880" cy="185651"/>
        </a:xfrm>
        <a:prstGeom prst="roundRect">
          <a:avLst>
            <a:gd name="adj" fmla="val 29570"/>
          </a:avLst>
        </a:prstGeom>
        <a:gradFill>
          <a:gsLst>
            <a:gs pos="0">
              <a:srgbClr val="FF2E9F"/>
            </a:gs>
            <a:gs pos="100000">
              <a:srgbClr val="FF00E0"/>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403116</xdr:colOff>
      <xdr:row>18</xdr:row>
      <xdr:rowOff>111155</xdr:rowOff>
    </xdr:from>
    <xdr:to>
      <xdr:col>12</xdr:col>
      <xdr:colOff>585996</xdr:colOff>
      <xdr:row>19</xdr:row>
      <xdr:rowOff>113926</xdr:rowOff>
    </xdr:to>
    <xdr:sp macro="" textlink="">
      <xdr:nvSpPr>
        <xdr:cNvPr id="90" name="Rectangle: Rounded Corners 89">
          <a:extLst>
            <a:ext uri="{FF2B5EF4-FFF2-40B4-BE49-F238E27FC236}">
              <a16:creationId xmlns:a16="http://schemas.microsoft.com/office/drawing/2014/main" id="{00000000-0008-0000-0400-00005A000000}"/>
            </a:ext>
          </a:extLst>
        </xdr:cNvPr>
        <xdr:cNvSpPr/>
      </xdr:nvSpPr>
      <xdr:spPr>
        <a:xfrm>
          <a:off x="7718316" y="3402995"/>
          <a:ext cx="182880" cy="185651"/>
        </a:xfrm>
        <a:prstGeom prst="roundRect">
          <a:avLst>
            <a:gd name="adj" fmla="val 29570"/>
          </a:avLst>
        </a:prstGeom>
        <a:gradFill>
          <a:gsLst>
            <a:gs pos="0">
              <a:srgbClr val="7B2FFF"/>
            </a:gs>
            <a:gs pos="100000">
              <a:srgbClr val="C44DFF"/>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403116</xdr:colOff>
      <xdr:row>20</xdr:row>
      <xdr:rowOff>78970</xdr:rowOff>
    </xdr:from>
    <xdr:to>
      <xdr:col>12</xdr:col>
      <xdr:colOff>585996</xdr:colOff>
      <xdr:row>21</xdr:row>
      <xdr:rowOff>81741</xdr:rowOff>
    </xdr:to>
    <xdr:sp macro="" textlink="">
      <xdr:nvSpPr>
        <xdr:cNvPr id="91" name="Rectangle: Rounded Corners 90">
          <a:extLst>
            <a:ext uri="{FF2B5EF4-FFF2-40B4-BE49-F238E27FC236}">
              <a16:creationId xmlns:a16="http://schemas.microsoft.com/office/drawing/2014/main" id="{00000000-0008-0000-0400-00005B000000}"/>
            </a:ext>
          </a:extLst>
        </xdr:cNvPr>
        <xdr:cNvSpPr/>
      </xdr:nvSpPr>
      <xdr:spPr>
        <a:xfrm>
          <a:off x="7718316" y="3736570"/>
          <a:ext cx="182880" cy="185651"/>
        </a:xfrm>
        <a:prstGeom prst="roundRect">
          <a:avLst>
            <a:gd name="adj" fmla="val 29570"/>
          </a:avLst>
        </a:prstGeom>
        <a:gradFill>
          <a:gsLst>
            <a:gs pos="0">
              <a:srgbClr val="00F5FF"/>
            </a:gs>
            <a:gs pos="100000">
              <a:srgbClr val="00A8FF"/>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403116</xdr:colOff>
      <xdr:row>22</xdr:row>
      <xdr:rowOff>46784</xdr:rowOff>
    </xdr:from>
    <xdr:to>
      <xdr:col>12</xdr:col>
      <xdr:colOff>585996</xdr:colOff>
      <xdr:row>23</xdr:row>
      <xdr:rowOff>49555</xdr:rowOff>
    </xdr:to>
    <xdr:sp macro="" textlink="">
      <xdr:nvSpPr>
        <xdr:cNvPr id="92" name="Rectangle: Rounded Corners 91">
          <a:extLst>
            <a:ext uri="{FF2B5EF4-FFF2-40B4-BE49-F238E27FC236}">
              <a16:creationId xmlns:a16="http://schemas.microsoft.com/office/drawing/2014/main" id="{00000000-0008-0000-0400-00005C000000}"/>
            </a:ext>
          </a:extLst>
        </xdr:cNvPr>
        <xdr:cNvSpPr/>
      </xdr:nvSpPr>
      <xdr:spPr>
        <a:xfrm>
          <a:off x="7718316" y="4070144"/>
          <a:ext cx="182880" cy="185651"/>
        </a:xfrm>
        <a:prstGeom prst="roundRect">
          <a:avLst>
            <a:gd name="adj" fmla="val 29570"/>
          </a:avLst>
        </a:prstGeom>
        <a:gradFill>
          <a:gsLst>
            <a:gs pos="0">
              <a:srgbClr val="A8FF3E"/>
            </a:gs>
            <a:gs pos="100000">
              <a:srgbClr val="00FF9D"/>
            </a:gs>
          </a:gsLst>
          <a:lin ang="27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300604</xdr:colOff>
      <xdr:row>16</xdr:row>
      <xdr:rowOff>97873</xdr:rowOff>
    </xdr:from>
    <xdr:to>
      <xdr:col>15</xdr:col>
      <xdr:colOff>423922</xdr:colOff>
      <xdr:row>18</xdr:row>
      <xdr:rowOff>8670</xdr:rowOff>
    </xdr:to>
    <xdr:sp macro="" textlink="Processing!G77">
      <xdr:nvSpPr>
        <xdr:cNvPr id="93" name="TextBox 92">
          <a:extLst>
            <a:ext uri="{FF2B5EF4-FFF2-40B4-BE49-F238E27FC236}">
              <a16:creationId xmlns:a16="http://schemas.microsoft.com/office/drawing/2014/main" id="{00000000-0008-0000-0400-00005D000000}"/>
            </a:ext>
          </a:extLst>
        </xdr:cNvPr>
        <xdr:cNvSpPr txBox="1"/>
      </xdr:nvSpPr>
      <xdr:spPr>
        <a:xfrm>
          <a:off x="8835004" y="3023953"/>
          <a:ext cx="732918" cy="276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529F294-7B66-43D3-90A2-D9449C7F0C4E}" type="TxLink">
            <a:rPr lang="en-US" sz="1800" b="0" i="1" u="none" strike="noStrike">
              <a:solidFill>
                <a:schemeClr val="bg1"/>
              </a:solidFill>
              <a:latin typeface="Aptos Narrow"/>
              <a:ea typeface="+mn-ea"/>
              <a:cs typeface="+mn-cs"/>
            </a:rPr>
            <a:pPr marL="0" indent="0" algn="l"/>
            <a:t>18%</a:t>
          </a:fld>
          <a:endParaRPr lang="ru-RU" sz="1800" b="0" i="1" u="none" strike="noStrike">
            <a:solidFill>
              <a:schemeClr val="bg1"/>
            </a:solidFill>
            <a:latin typeface="Aptos Narrow"/>
            <a:ea typeface="+mn-ea"/>
            <a:cs typeface="+mn-cs"/>
          </a:endParaRPr>
        </a:p>
      </xdr:txBody>
    </xdr:sp>
    <xdr:clientData/>
  </xdr:twoCellAnchor>
  <xdr:twoCellAnchor>
    <xdr:from>
      <xdr:col>14</xdr:col>
      <xdr:colOff>300604</xdr:colOff>
      <xdr:row>18</xdr:row>
      <xdr:rowOff>69630</xdr:rowOff>
    </xdr:from>
    <xdr:to>
      <xdr:col>15</xdr:col>
      <xdr:colOff>423922</xdr:colOff>
      <xdr:row>19</xdr:row>
      <xdr:rowOff>162188</xdr:rowOff>
    </xdr:to>
    <xdr:sp macro="" textlink="Processing!G78">
      <xdr:nvSpPr>
        <xdr:cNvPr id="94" name="TextBox 93">
          <a:extLst>
            <a:ext uri="{FF2B5EF4-FFF2-40B4-BE49-F238E27FC236}">
              <a16:creationId xmlns:a16="http://schemas.microsoft.com/office/drawing/2014/main" id="{00000000-0008-0000-0400-00005E000000}"/>
            </a:ext>
          </a:extLst>
        </xdr:cNvPr>
        <xdr:cNvSpPr txBox="1"/>
      </xdr:nvSpPr>
      <xdr:spPr>
        <a:xfrm>
          <a:off x="8835004" y="3361470"/>
          <a:ext cx="732918" cy="27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EE4D195-08C4-4140-AFED-229074425823}" type="TxLink">
            <a:rPr lang="en-US" sz="1800" b="0" i="1" u="none" strike="noStrike">
              <a:solidFill>
                <a:schemeClr val="bg1"/>
              </a:solidFill>
              <a:latin typeface="Aptos Narrow"/>
              <a:ea typeface="+mn-ea"/>
              <a:cs typeface="+mn-cs"/>
            </a:rPr>
            <a:pPr marL="0" indent="0" algn="l"/>
            <a:t>24%</a:t>
          </a:fld>
          <a:endParaRPr lang="ru-RU" sz="1800" b="0" i="1" u="none" strike="noStrike">
            <a:solidFill>
              <a:schemeClr val="bg1"/>
            </a:solidFill>
            <a:latin typeface="Aptos Narrow"/>
            <a:ea typeface="+mn-ea"/>
            <a:cs typeface="+mn-cs"/>
          </a:endParaRPr>
        </a:p>
      </xdr:txBody>
    </xdr:sp>
    <xdr:clientData/>
  </xdr:twoCellAnchor>
  <xdr:twoCellAnchor>
    <xdr:from>
      <xdr:col>14</xdr:col>
      <xdr:colOff>300604</xdr:colOff>
      <xdr:row>20</xdr:row>
      <xdr:rowOff>41387</xdr:rowOff>
    </xdr:from>
    <xdr:to>
      <xdr:col>15</xdr:col>
      <xdr:colOff>423922</xdr:colOff>
      <xdr:row>21</xdr:row>
      <xdr:rowOff>133945</xdr:rowOff>
    </xdr:to>
    <xdr:sp macro="" textlink="Processing!G79">
      <xdr:nvSpPr>
        <xdr:cNvPr id="95" name="TextBox 94">
          <a:extLst>
            <a:ext uri="{FF2B5EF4-FFF2-40B4-BE49-F238E27FC236}">
              <a16:creationId xmlns:a16="http://schemas.microsoft.com/office/drawing/2014/main" id="{00000000-0008-0000-0400-00005F000000}"/>
            </a:ext>
          </a:extLst>
        </xdr:cNvPr>
        <xdr:cNvSpPr txBox="1"/>
      </xdr:nvSpPr>
      <xdr:spPr>
        <a:xfrm>
          <a:off x="8815430" y="3676616"/>
          <a:ext cx="731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3E2FC6A-ECCF-4A7E-BB2D-3D3CB40B1E7E}" type="TxLink">
            <a:rPr lang="en-US" sz="1800" b="0" i="1" u="none" strike="noStrike">
              <a:solidFill>
                <a:schemeClr val="bg1"/>
              </a:solidFill>
              <a:latin typeface="Aptos Narrow"/>
              <a:ea typeface="+mn-ea"/>
              <a:cs typeface="+mn-cs"/>
            </a:rPr>
            <a:pPr marL="0" indent="0" algn="l"/>
            <a:t>25%</a:t>
          </a:fld>
          <a:endParaRPr lang="ru-RU" sz="1800" b="0" i="1" u="none" strike="noStrike">
            <a:solidFill>
              <a:schemeClr val="bg1"/>
            </a:solidFill>
            <a:latin typeface="Aptos Narrow"/>
            <a:ea typeface="+mn-ea"/>
            <a:cs typeface="+mn-cs"/>
          </a:endParaRPr>
        </a:p>
      </xdr:txBody>
    </xdr:sp>
    <xdr:clientData/>
  </xdr:twoCellAnchor>
  <xdr:twoCellAnchor>
    <xdr:from>
      <xdr:col>14</xdr:col>
      <xdr:colOff>300604</xdr:colOff>
      <xdr:row>22</xdr:row>
      <xdr:rowOff>13144</xdr:rowOff>
    </xdr:from>
    <xdr:to>
      <xdr:col>15</xdr:col>
      <xdr:colOff>423922</xdr:colOff>
      <xdr:row>23</xdr:row>
      <xdr:rowOff>105702</xdr:rowOff>
    </xdr:to>
    <xdr:sp macro="" textlink="Processing!G80">
      <xdr:nvSpPr>
        <xdr:cNvPr id="96" name="TextBox 95">
          <a:extLst>
            <a:ext uri="{FF2B5EF4-FFF2-40B4-BE49-F238E27FC236}">
              <a16:creationId xmlns:a16="http://schemas.microsoft.com/office/drawing/2014/main" id="{00000000-0008-0000-0400-000060000000}"/>
            </a:ext>
          </a:extLst>
        </xdr:cNvPr>
        <xdr:cNvSpPr txBox="1"/>
      </xdr:nvSpPr>
      <xdr:spPr>
        <a:xfrm>
          <a:off x="8815430" y="4011896"/>
          <a:ext cx="731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853B548-8B0F-4AF6-BCD7-020493CC3B40}" type="TxLink">
            <a:rPr lang="en-US" sz="1800" b="0" i="1" u="none" strike="noStrike">
              <a:solidFill>
                <a:schemeClr val="bg1"/>
              </a:solidFill>
              <a:latin typeface="Aptos Narrow"/>
              <a:ea typeface="+mn-ea"/>
              <a:cs typeface="+mn-cs"/>
            </a:rPr>
            <a:pPr marL="0" indent="0" algn="l"/>
            <a:t>32%</a:t>
          </a:fld>
          <a:endParaRPr lang="ru-RU" sz="1800" b="0" i="1" u="none" strike="noStrike">
            <a:solidFill>
              <a:schemeClr val="bg1"/>
            </a:solidFill>
            <a:latin typeface="Aptos Narrow"/>
            <a:ea typeface="+mn-ea"/>
            <a:cs typeface="+mn-cs"/>
          </a:endParaRPr>
        </a:p>
      </xdr:txBody>
    </xdr:sp>
    <xdr:clientData/>
  </xdr:twoCellAnchor>
  <xdr:twoCellAnchor>
    <xdr:from>
      <xdr:col>15</xdr:col>
      <xdr:colOff>187632</xdr:colOff>
      <xdr:row>16</xdr:row>
      <xdr:rowOff>97873</xdr:rowOff>
    </xdr:from>
    <xdr:to>
      <xdr:col>16</xdr:col>
      <xdr:colOff>585271</xdr:colOff>
      <xdr:row>18</xdr:row>
      <xdr:rowOff>8670</xdr:rowOff>
    </xdr:to>
    <xdr:sp macro="" textlink="Processing!F77">
      <xdr:nvSpPr>
        <xdr:cNvPr id="97" name="TextBox 96">
          <a:extLst>
            <a:ext uri="{FF2B5EF4-FFF2-40B4-BE49-F238E27FC236}">
              <a16:creationId xmlns:a16="http://schemas.microsoft.com/office/drawing/2014/main" id="{00000000-0008-0000-0400-000061000000}"/>
            </a:ext>
          </a:extLst>
        </xdr:cNvPr>
        <xdr:cNvSpPr txBox="1"/>
      </xdr:nvSpPr>
      <xdr:spPr>
        <a:xfrm>
          <a:off x="9331632" y="3023953"/>
          <a:ext cx="1007239" cy="2765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C536564-0B86-4F26-99DE-CCE2860FD6F6}" type="TxLink">
            <a:rPr lang="en-US" sz="1400" b="0" i="0" u="none" strike="noStrike">
              <a:solidFill>
                <a:srgbClr val="545C8A"/>
              </a:solidFill>
              <a:latin typeface="Aptos Narrow"/>
              <a:ea typeface="+mn-ea"/>
              <a:cs typeface="+mn-cs"/>
            </a:rPr>
            <a:pPr marL="0" indent="0" algn="l"/>
            <a:t> $73 287 </a:t>
          </a:fld>
          <a:endParaRPr lang="ru-RU" sz="1400" b="0" i="0" u="none" strike="noStrike">
            <a:solidFill>
              <a:srgbClr val="545C8A"/>
            </a:solidFill>
            <a:latin typeface="Aptos Narrow"/>
            <a:ea typeface="+mn-ea"/>
            <a:cs typeface="+mn-cs"/>
          </a:endParaRPr>
        </a:p>
      </xdr:txBody>
    </xdr:sp>
    <xdr:clientData/>
  </xdr:twoCellAnchor>
  <xdr:twoCellAnchor>
    <xdr:from>
      <xdr:col>15</xdr:col>
      <xdr:colOff>187632</xdr:colOff>
      <xdr:row>18</xdr:row>
      <xdr:rowOff>69630</xdr:rowOff>
    </xdr:from>
    <xdr:to>
      <xdr:col>16</xdr:col>
      <xdr:colOff>585271</xdr:colOff>
      <xdr:row>19</xdr:row>
      <xdr:rowOff>162188</xdr:rowOff>
    </xdr:to>
    <xdr:sp macro="" textlink="Processing!F78">
      <xdr:nvSpPr>
        <xdr:cNvPr id="98" name="TextBox 97">
          <a:extLst>
            <a:ext uri="{FF2B5EF4-FFF2-40B4-BE49-F238E27FC236}">
              <a16:creationId xmlns:a16="http://schemas.microsoft.com/office/drawing/2014/main" id="{00000000-0008-0000-0400-000062000000}"/>
            </a:ext>
          </a:extLst>
        </xdr:cNvPr>
        <xdr:cNvSpPr txBox="1"/>
      </xdr:nvSpPr>
      <xdr:spPr>
        <a:xfrm>
          <a:off x="9331632" y="3361470"/>
          <a:ext cx="1007239" cy="27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EA58FE9-656C-450F-A81D-B3FE9D63E583}" type="TxLink">
            <a:rPr lang="en-US" sz="1400" b="0" i="0" u="none" strike="noStrike">
              <a:solidFill>
                <a:srgbClr val="545C8A"/>
              </a:solidFill>
              <a:latin typeface="Aptos Narrow"/>
              <a:ea typeface="+mn-ea"/>
              <a:cs typeface="+mn-cs"/>
            </a:rPr>
            <a:pPr marL="0" indent="0" algn="l"/>
            <a:t> $97 010 </a:t>
          </a:fld>
          <a:endParaRPr lang="ru-RU" sz="1400" b="0" i="0" u="none" strike="noStrike">
            <a:solidFill>
              <a:srgbClr val="545C8A"/>
            </a:solidFill>
            <a:latin typeface="Aptos Narrow"/>
            <a:ea typeface="+mn-ea"/>
            <a:cs typeface="+mn-cs"/>
          </a:endParaRPr>
        </a:p>
      </xdr:txBody>
    </xdr:sp>
    <xdr:clientData/>
  </xdr:twoCellAnchor>
  <xdr:twoCellAnchor>
    <xdr:from>
      <xdr:col>15</xdr:col>
      <xdr:colOff>187632</xdr:colOff>
      <xdr:row>20</xdr:row>
      <xdr:rowOff>41387</xdr:rowOff>
    </xdr:from>
    <xdr:to>
      <xdr:col>16</xdr:col>
      <xdr:colOff>585271</xdr:colOff>
      <xdr:row>21</xdr:row>
      <xdr:rowOff>133945</xdr:rowOff>
    </xdr:to>
    <xdr:sp macro="" textlink="Processing!F79">
      <xdr:nvSpPr>
        <xdr:cNvPr id="99" name="TextBox 98">
          <a:extLst>
            <a:ext uri="{FF2B5EF4-FFF2-40B4-BE49-F238E27FC236}">
              <a16:creationId xmlns:a16="http://schemas.microsoft.com/office/drawing/2014/main" id="{00000000-0008-0000-0400-000063000000}"/>
            </a:ext>
          </a:extLst>
        </xdr:cNvPr>
        <xdr:cNvSpPr txBox="1"/>
      </xdr:nvSpPr>
      <xdr:spPr>
        <a:xfrm>
          <a:off x="9331632" y="3698987"/>
          <a:ext cx="1007239" cy="27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816CBA7-1AC9-44FA-BC83-0DC86E6D1D54}" type="TxLink">
            <a:rPr lang="en-US" sz="1400" b="0" i="0" u="none" strike="noStrike">
              <a:solidFill>
                <a:srgbClr val="545C8A"/>
              </a:solidFill>
              <a:latin typeface="Aptos Narrow"/>
              <a:ea typeface="+mn-ea"/>
              <a:cs typeface="+mn-cs"/>
            </a:rPr>
            <a:pPr marL="0" indent="0" algn="l"/>
            <a:t> $100 937 </a:t>
          </a:fld>
          <a:endParaRPr lang="ru-RU" sz="1400" b="0" i="0" u="none" strike="noStrike">
            <a:solidFill>
              <a:srgbClr val="545C8A"/>
            </a:solidFill>
            <a:latin typeface="Aptos Narrow"/>
            <a:ea typeface="+mn-ea"/>
            <a:cs typeface="+mn-cs"/>
          </a:endParaRPr>
        </a:p>
      </xdr:txBody>
    </xdr:sp>
    <xdr:clientData/>
  </xdr:twoCellAnchor>
  <xdr:twoCellAnchor>
    <xdr:from>
      <xdr:col>15</xdr:col>
      <xdr:colOff>187632</xdr:colOff>
      <xdr:row>22</xdr:row>
      <xdr:rowOff>13144</xdr:rowOff>
    </xdr:from>
    <xdr:to>
      <xdr:col>16</xdr:col>
      <xdr:colOff>585271</xdr:colOff>
      <xdr:row>23</xdr:row>
      <xdr:rowOff>105702</xdr:rowOff>
    </xdr:to>
    <xdr:sp macro="" textlink="Processing!F80">
      <xdr:nvSpPr>
        <xdr:cNvPr id="100" name="TextBox 99">
          <a:extLst>
            <a:ext uri="{FF2B5EF4-FFF2-40B4-BE49-F238E27FC236}">
              <a16:creationId xmlns:a16="http://schemas.microsoft.com/office/drawing/2014/main" id="{00000000-0008-0000-0400-000064000000}"/>
            </a:ext>
          </a:extLst>
        </xdr:cNvPr>
        <xdr:cNvSpPr txBox="1"/>
      </xdr:nvSpPr>
      <xdr:spPr>
        <a:xfrm>
          <a:off x="9331632" y="4036504"/>
          <a:ext cx="1007239" cy="27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3668160-11A0-4C53-B6F9-09475C0CB3DA}" type="TxLink">
            <a:rPr lang="en-US" sz="1400" b="0" i="0" u="none" strike="noStrike">
              <a:solidFill>
                <a:srgbClr val="545C8A"/>
              </a:solidFill>
              <a:latin typeface="Aptos Narrow"/>
              <a:ea typeface="+mn-ea"/>
              <a:cs typeface="+mn-cs"/>
            </a:rPr>
            <a:pPr marL="0" indent="0" algn="l"/>
            <a:t> $130 430 </a:t>
          </a:fld>
          <a:endParaRPr lang="ru-RU" sz="1400" b="0" i="0" u="none" strike="noStrike">
            <a:solidFill>
              <a:srgbClr val="545C8A"/>
            </a:solidFill>
            <a:latin typeface="Aptos Narrow"/>
            <a:ea typeface="+mn-ea"/>
            <a:cs typeface="+mn-cs"/>
          </a:endParaRPr>
        </a:p>
      </xdr:txBody>
    </xdr:sp>
    <xdr:clientData/>
  </xdr:twoCellAnchor>
  <xdr:twoCellAnchor>
    <xdr:from>
      <xdr:col>9</xdr:col>
      <xdr:colOff>0</xdr:colOff>
      <xdr:row>27</xdr:row>
      <xdr:rowOff>48934</xdr:rowOff>
    </xdr:from>
    <xdr:to>
      <xdr:col>11</xdr:col>
      <xdr:colOff>251670</xdr:colOff>
      <xdr:row>35</xdr:row>
      <xdr:rowOff>181062</xdr:rowOff>
    </xdr:to>
    <xdr:sp macro="" textlink="">
      <xdr:nvSpPr>
        <xdr:cNvPr id="101" name="Rectangle: Rounded Corners 100">
          <a:extLst>
            <a:ext uri="{FF2B5EF4-FFF2-40B4-BE49-F238E27FC236}">
              <a16:creationId xmlns:a16="http://schemas.microsoft.com/office/drawing/2014/main" id="{00000000-0008-0000-0400-000065000000}"/>
            </a:ext>
          </a:extLst>
        </xdr:cNvPr>
        <xdr:cNvSpPr/>
      </xdr:nvSpPr>
      <xdr:spPr>
        <a:xfrm>
          <a:off x="5473817" y="4956494"/>
          <a:ext cx="1468073" cy="1586219"/>
        </a:xfrm>
        <a:prstGeom prst="roundRect">
          <a:avLst>
            <a:gd name="adj" fmla="val 5375"/>
          </a:avLst>
        </a:prstGeom>
        <a:solidFill>
          <a:srgbClr val="050714"/>
        </a:solidFill>
        <a:ln w="12700">
          <a:gradFill flip="none" rotWithShape="1">
            <a:gsLst>
              <a:gs pos="0">
                <a:srgbClr val="1E4F78"/>
              </a:gs>
              <a:gs pos="100000">
                <a:srgbClr val="3F116A"/>
              </a:gs>
            </a:gsLst>
            <a:path path="circle">
              <a:fillToRect r="100000" b="100000"/>
            </a:path>
            <a:tileRect l="-100000" t="-10000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0</xdr:col>
      <xdr:colOff>202730</xdr:colOff>
      <xdr:row>26</xdr:row>
      <xdr:rowOff>20973</xdr:rowOff>
    </xdr:from>
    <xdr:to>
      <xdr:col>8</xdr:col>
      <xdr:colOff>468383</xdr:colOff>
      <xdr:row>36</xdr:row>
      <xdr:rowOff>83894</xdr:rowOff>
    </xdr:to>
    <xdr:graphicFrame macro="">
      <xdr:nvGraphicFramePr>
        <xdr:cNvPr id="102" name="Chart 101">
          <a:extLst>
            <a:ext uri="{FF2B5EF4-FFF2-40B4-BE49-F238E27FC236}">
              <a16:creationId xmlns:a16="http://schemas.microsoft.com/office/drawing/2014/main" id="{00000000-0008-0000-0400-00006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150812</xdr:colOff>
      <xdr:row>25</xdr:row>
      <xdr:rowOff>122250</xdr:rowOff>
    </xdr:from>
    <xdr:to>
      <xdr:col>6</xdr:col>
      <xdr:colOff>279635</xdr:colOff>
      <xdr:row>27</xdr:row>
      <xdr:rowOff>34699</xdr:rowOff>
    </xdr:to>
    <xdr:sp macro="" textlink="Processing!A100">
      <xdr:nvSpPr>
        <xdr:cNvPr id="103" name="TextBox 102">
          <a:extLst>
            <a:ext uri="{FF2B5EF4-FFF2-40B4-BE49-F238E27FC236}">
              <a16:creationId xmlns:a16="http://schemas.microsoft.com/office/drawing/2014/main" id="{00000000-0008-0000-0400-000067000000}"/>
            </a:ext>
          </a:extLst>
        </xdr:cNvPr>
        <xdr:cNvSpPr txBox="1"/>
      </xdr:nvSpPr>
      <xdr:spPr>
        <a:xfrm>
          <a:off x="1975418" y="4666287"/>
          <a:ext cx="1953428"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E9AF3B-22FD-41A7-8AB8-8C01B41ABC67}" type="TxLink">
            <a:rPr lang="en-US" sz="1400" b="0" i="1" u="none" strike="noStrike">
              <a:solidFill>
                <a:schemeClr val="bg1"/>
              </a:solidFill>
              <a:latin typeface="Aptos Narrow"/>
              <a:ea typeface="+mn-ea"/>
              <a:cs typeface="+mn-cs"/>
            </a:rPr>
            <a:pPr marL="0" indent="0"/>
            <a:t>Revenue vs Expenses</a:t>
          </a:fld>
          <a:endParaRPr lang="ru-RU" sz="1400" b="0" i="1" u="none" strike="noStrike">
            <a:solidFill>
              <a:schemeClr val="bg1"/>
            </a:solidFill>
            <a:latin typeface="Aptos Narrow"/>
            <a:ea typeface="+mn-ea"/>
            <a:cs typeface="+mn-cs"/>
          </a:endParaRPr>
        </a:p>
      </xdr:txBody>
    </xdr:sp>
    <xdr:clientData/>
  </xdr:twoCellAnchor>
  <xdr:twoCellAnchor>
    <xdr:from>
      <xdr:col>1</xdr:col>
      <xdr:colOff>398144</xdr:colOff>
      <xdr:row>25</xdr:row>
      <xdr:rowOff>114630</xdr:rowOff>
    </xdr:from>
    <xdr:to>
      <xdr:col>3</xdr:col>
      <xdr:colOff>235193</xdr:colOff>
      <xdr:row>27</xdr:row>
      <xdr:rowOff>27079</xdr:rowOff>
    </xdr:to>
    <xdr:sp macro="" textlink="Processing!B113">
      <xdr:nvSpPr>
        <xdr:cNvPr id="104" name="TextBox 103">
          <a:extLst>
            <a:ext uri="{FF2B5EF4-FFF2-40B4-BE49-F238E27FC236}">
              <a16:creationId xmlns:a16="http://schemas.microsoft.com/office/drawing/2014/main" id="{00000000-0008-0000-0400-000068000000}"/>
            </a:ext>
          </a:extLst>
        </xdr:cNvPr>
        <xdr:cNvSpPr txBox="1"/>
      </xdr:nvSpPr>
      <xdr:spPr>
        <a:xfrm>
          <a:off x="1006346" y="4658667"/>
          <a:ext cx="1053453"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AE55B3C-9B97-4C83-B39C-96F4F1F7B583}" type="TxLink">
            <a:rPr lang="en-US" sz="1600" b="0" i="1" u="none" strike="noStrike">
              <a:solidFill>
                <a:srgbClr val="545C8A"/>
              </a:solidFill>
              <a:latin typeface="Aptos Narrow"/>
              <a:ea typeface="+mn-ea"/>
              <a:cs typeface="+mn-cs"/>
            </a:rPr>
            <a:pPr marL="0" indent="0" algn="l"/>
            <a:t> $401 665 </a:t>
          </a:fld>
          <a:endParaRPr lang="ru-RU" sz="1600" b="0" i="1" u="none" strike="noStrike">
            <a:solidFill>
              <a:srgbClr val="545C8A"/>
            </a:solidFill>
            <a:latin typeface="Aptos Narrow"/>
            <a:ea typeface="+mn-ea"/>
            <a:cs typeface="+mn-cs"/>
          </a:endParaRPr>
        </a:p>
      </xdr:txBody>
    </xdr:sp>
    <xdr:clientData/>
  </xdr:twoCellAnchor>
  <xdr:twoCellAnchor>
    <xdr:from>
      <xdr:col>5</xdr:col>
      <xdr:colOff>600878</xdr:colOff>
      <xdr:row>25</xdr:row>
      <xdr:rowOff>114630</xdr:rowOff>
    </xdr:from>
    <xdr:to>
      <xdr:col>7</xdr:col>
      <xdr:colOff>437927</xdr:colOff>
      <xdr:row>27</xdr:row>
      <xdr:rowOff>27079</xdr:rowOff>
    </xdr:to>
    <xdr:sp macro="" textlink="Processing!C113">
      <xdr:nvSpPr>
        <xdr:cNvPr id="105" name="TextBox 104">
          <a:extLst>
            <a:ext uri="{FF2B5EF4-FFF2-40B4-BE49-F238E27FC236}">
              <a16:creationId xmlns:a16="http://schemas.microsoft.com/office/drawing/2014/main" id="{00000000-0008-0000-0400-000069000000}"/>
            </a:ext>
          </a:extLst>
        </xdr:cNvPr>
        <xdr:cNvSpPr txBox="1"/>
      </xdr:nvSpPr>
      <xdr:spPr>
        <a:xfrm>
          <a:off x="3641887" y="4658667"/>
          <a:ext cx="1053453"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38CC915-554A-4170-9972-4864CD1F3ADB}" type="TxLink">
            <a:rPr lang="en-US" sz="1600" b="0" i="1" u="none" strike="noStrike">
              <a:solidFill>
                <a:srgbClr val="FF3399"/>
              </a:solidFill>
              <a:latin typeface="Aptos Narrow"/>
              <a:ea typeface="+mn-ea"/>
              <a:cs typeface="+mn-cs"/>
            </a:rPr>
            <a:pPr marL="0" indent="0" algn="l"/>
            <a:t> $257 497 </a:t>
          </a:fld>
          <a:endParaRPr lang="ru-RU" sz="1600" b="0" i="1" u="none" strike="noStrike">
            <a:solidFill>
              <a:srgbClr val="FF3399"/>
            </a:solidFill>
            <a:latin typeface="Aptos Narrow"/>
            <a:ea typeface="+mn-ea"/>
            <a:cs typeface="+mn-cs"/>
          </a:endParaRPr>
        </a:p>
      </xdr:txBody>
    </xdr:sp>
    <xdr:clientData/>
  </xdr:twoCellAnchor>
  <xdr:twoCellAnchor>
    <xdr:from>
      <xdr:col>16</xdr:col>
      <xdr:colOff>559265</xdr:colOff>
      <xdr:row>5</xdr:row>
      <xdr:rowOff>144396</xdr:rowOff>
    </xdr:from>
    <xdr:to>
      <xdr:col>20</xdr:col>
      <xdr:colOff>62917</xdr:colOff>
      <xdr:row>7</xdr:row>
      <xdr:rowOff>83891</xdr:rowOff>
    </xdr:to>
    <xdr:sp macro="" textlink="[1]Processing!A60">
      <xdr:nvSpPr>
        <xdr:cNvPr id="106" name="TextBox 105">
          <a:extLst>
            <a:ext uri="{FF2B5EF4-FFF2-40B4-BE49-F238E27FC236}">
              <a16:creationId xmlns:a16="http://schemas.microsoft.com/office/drawing/2014/main" id="{00000000-0008-0000-0400-00006A000000}"/>
            </a:ext>
          </a:extLst>
        </xdr:cNvPr>
        <xdr:cNvSpPr txBox="1"/>
      </xdr:nvSpPr>
      <xdr:spPr>
        <a:xfrm>
          <a:off x="10312865" y="1058796"/>
          <a:ext cx="1942052" cy="3052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D05BC90-EB36-471A-A0CB-029BF6D556DC}" type="TxLink">
            <a:rPr lang="en-US" sz="1400" b="0" i="1" u="none" strike="noStrike">
              <a:solidFill>
                <a:schemeClr val="bg1"/>
              </a:solidFill>
              <a:latin typeface="Aptos Narrow"/>
              <a:ea typeface="+mn-ea"/>
              <a:cs typeface="+mn-cs"/>
            </a:rPr>
            <a:pPr marL="0" indent="0"/>
            <a:t>Top Cities by Revenue</a:t>
          </a:fld>
          <a:endParaRPr lang="en-US" sz="1400" b="0" i="1" u="none" strike="noStrike">
            <a:solidFill>
              <a:schemeClr val="bg1"/>
            </a:solidFill>
            <a:latin typeface="Aptos Narrow"/>
            <a:ea typeface="+mn-ea"/>
            <a:cs typeface="+mn-cs"/>
          </a:endParaRPr>
        </a:p>
      </xdr:txBody>
    </xdr:sp>
    <xdr:clientData/>
  </xdr:twoCellAnchor>
  <xdr:twoCellAnchor>
    <xdr:from>
      <xdr:col>16</xdr:col>
      <xdr:colOff>607662</xdr:colOff>
      <xdr:row>16</xdr:row>
      <xdr:rowOff>139170</xdr:rowOff>
    </xdr:from>
    <xdr:to>
      <xdr:col>20</xdr:col>
      <xdr:colOff>579387</xdr:colOff>
      <xdr:row>17</xdr:row>
      <xdr:rowOff>124670</xdr:rowOff>
    </xdr:to>
    <xdr:sp macro="" textlink="">
      <xdr:nvSpPr>
        <xdr:cNvPr id="107" name="Rectangle: Rounded Corners 106">
          <a:extLst>
            <a:ext uri="{FF2B5EF4-FFF2-40B4-BE49-F238E27FC236}">
              <a16:creationId xmlns:a16="http://schemas.microsoft.com/office/drawing/2014/main" id="{00000000-0008-0000-0400-00006B000000}"/>
            </a:ext>
          </a:extLst>
        </xdr:cNvPr>
        <xdr:cNvSpPr/>
      </xdr:nvSpPr>
      <xdr:spPr>
        <a:xfrm>
          <a:off x="10361262" y="3065250"/>
          <a:ext cx="2410125" cy="168380"/>
        </a:xfrm>
        <a:prstGeom prst="roundRect">
          <a:avLst>
            <a:gd name="adj" fmla="val 30000"/>
          </a:avLst>
        </a:prstGeom>
        <a:solidFill>
          <a:srgbClr val="2C39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250126</xdr:colOff>
      <xdr:row>13</xdr:row>
      <xdr:rowOff>83891</xdr:rowOff>
    </xdr:from>
    <xdr:to>
      <xdr:col>8</xdr:col>
      <xdr:colOff>459431</xdr:colOff>
      <xdr:row>24</xdr:row>
      <xdr:rowOff>82379</xdr:rowOff>
    </xdr:to>
    <xdr:graphicFrame macro="">
      <xdr:nvGraphicFramePr>
        <xdr:cNvPr id="123" name="Chart 122">
          <a:extLst>
            <a:ext uri="{FF2B5EF4-FFF2-40B4-BE49-F238E27FC236}">
              <a16:creationId xmlns:a16="http://schemas.microsoft.com/office/drawing/2014/main" id="{00000000-0008-0000-0400-00007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607662</xdr:colOff>
      <xdr:row>14</xdr:row>
      <xdr:rowOff>134756</xdr:rowOff>
    </xdr:from>
    <xdr:to>
      <xdr:col>20</xdr:col>
      <xdr:colOff>579387</xdr:colOff>
      <xdr:row>15</xdr:row>
      <xdr:rowOff>120257</xdr:rowOff>
    </xdr:to>
    <xdr:sp macro="" textlink="">
      <xdr:nvSpPr>
        <xdr:cNvPr id="108" name="Rectangle: Rounded Corners 107">
          <a:extLst>
            <a:ext uri="{FF2B5EF4-FFF2-40B4-BE49-F238E27FC236}">
              <a16:creationId xmlns:a16="http://schemas.microsoft.com/office/drawing/2014/main" id="{00000000-0008-0000-0400-00006C000000}"/>
            </a:ext>
          </a:extLst>
        </xdr:cNvPr>
        <xdr:cNvSpPr/>
      </xdr:nvSpPr>
      <xdr:spPr>
        <a:xfrm>
          <a:off x="10361262" y="2695076"/>
          <a:ext cx="2410125" cy="168381"/>
        </a:xfrm>
        <a:prstGeom prst="roundRect">
          <a:avLst>
            <a:gd name="adj" fmla="val 30000"/>
          </a:avLst>
        </a:prstGeom>
        <a:solidFill>
          <a:srgbClr val="2C39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607662</xdr:colOff>
      <xdr:row>12</xdr:row>
      <xdr:rowOff>130343</xdr:rowOff>
    </xdr:from>
    <xdr:to>
      <xdr:col>20</xdr:col>
      <xdr:colOff>579387</xdr:colOff>
      <xdr:row>13</xdr:row>
      <xdr:rowOff>115844</xdr:rowOff>
    </xdr:to>
    <xdr:sp macro="" textlink="">
      <xdr:nvSpPr>
        <xdr:cNvPr id="109" name="Rectangle: Rounded Corners 108">
          <a:extLst>
            <a:ext uri="{FF2B5EF4-FFF2-40B4-BE49-F238E27FC236}">
              <a16:creationId xmlns:a16="http://schemas.microsoft.com/office/drawing/2014/main" id="{00000000-0008-0000-0400-00006D000000}"/>
            </a:ext>
          </a:extLst>
        </xdr:cNvPr>
        <xdr:cNvSpPr/>
      </xdr:nvSpPr>
      <xdr:spPr>
        <a:xfrm>
          <a:off x="10361262" y="2324903"/>
          <a:ext cx="2410125" cy="168381"/>
        </a:xfrm>
        <a:prstGeom prst="roundRect">
          <a:avLst>
            <a:gd name="adj" fmla="val 30000"/>
          </a:avLst>
        </a:prstGeom>
        <a:solidFill>
          <a:srgbClr val="2C39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607662</xdr:colOff>
      <xdr:row>10</xdr:row>
      <xdr:rowOff>125930</xdr:rowOff>
    </xdr:from>
    <xdr:to>
      <xdr:col>20</xdr:col>
      <xdr:colOff>579387</xdr:colOff>
      <xdr:row>11</xdr:row>
      <xdr:rowOff>111431</xdr:rowOff>
    </xdr:to>
    <xdr:sp macro="" textlink="">
      <xdr:nvSpPr>
        <xdr:cNvPr id="110" name="Rectangle: Rounded Corners 109">
          <a:extLst>
            <a:ext uri="{FF2B5EF4-FFF2-40B4-BE49-F238E27FC236}">
              <a16:creationId xmlns:a16="http://schemas.microsoft.com/office/drawing/2014/main" id="{00000000-0008-0000-0400-00006E000000}"/>
            </a:ext>
          </a:extLst>
        </xdr:cNvPr>
        <xdr:cNvSpPr/>
      </xdr:nvSpPr>
      <xdr:spPr>
        <a:xfrm>
          <a:off x="10361262" y="1954730"/>
          <a:ext cx="2410125" cy="168381"/>
        </a:xfrm>
        <a:prstGeom prst="roundRect">
          <a:avLst>
            <a:gd name="adj" fmla="val 30000"/>
          </a:avLst>
        </a:prstGeom>
        <a:solidFill>
          <a:srgbClr val="2C39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607662</xdr:colOff>
      <xdr:row>8</xdr:row>
      <xdr:rowOff>121517</xdr:rowOff>
    </xdr:from>
    <xdr:to>
      <xdr:col>20</xdr:col>
      <xdr:colOff>579387</xdr:colOff>
      <xdr:row>9</xdr:row>
      <xdr:rowOff>107018</xdr:rowOff>
    </xdr:to>
    <xdr:sp macro="" textlink="">
      <xdr:nvSpPr>
        <xdr:cNvPr id="111" name="Rectangle: Rounded Corners 110">
          <a:extLst>
            <a:ext uri="{FF2B5EF4-FFF2-40B4-BE49-F238E27FC236}">
              <a16:creationId xmlns:a16="http://schemas.microsoft.com/office/drawing/2014/main" id="{00000000-0008-0000-0400-00006F000000}"/>
            </a:ext>
          </a:extLst>
        </xdr:cNvPr>
        <xdr:cNvSpPr/>
      </xdr:nvSpPr>
      <xdr:spPr>
        <a:xfrm>
          <a:off x="10361262" y="1584557"/>
          <a:ext cx="2410125" cy="168381"/>
        </a:xfrm>
        <a:prstGeom prst="roundRect">
          <a:avLst>
            <a:gd name="adj" fmla="val 30000"/>
          </a:avLst>
        </a:prstGeom>
        <a:solidFill>
          <a:srgbClr val="2C396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538153</xdr:colOff>
      <xdr:row>7</xdr:row>
      <xdr:rowOff>120909</xdr:rowOff>
    </xdr:from>
    <xdr:to>
      <xdr:col>19</xdr:col>
      <xdr:colOff>163663</xdr:colOff>
      <xdr:row>8</xdr:row>
      <xdr:rowOff>112266</xdr:rowOff>
    </xdr:to>
    <xdr:sp macro="" textlink="Processing!A118">
      <xdr:nvSpPr>
        <xdr:cNvPr id="112" name="TextBox 111">
          <a:extLst>
            <a:ext uri="{FF2B5EF4-FFF2-40B4-BE49-F238E27FC236}">
              <a16:creationId xmlns:a16="http://schemas.microsoft.com/office/drawing/2014/main" id="{00000000-0008-0000-0400-000070000000}"/>
            </a:ext>
          </a:extLst>
        </xdr:cNvPr>
        <xdr:cNvSpPr txBox="1"/>
      </xdr:nvSpPr>
      <xdr:spPr>
        <a:xfrm>
          <a:off x="10291753" y="1401069"/>
          <a:ext cx="1454310" cy="174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4CE814F-21CC-4811-BD89-3848B4FF975D}" type="TxLink">
            <a:rPr lang="en-US" sz="1100" b="0" i="0" u="none" strike="noStrike">
              <a:solidFill>
                <a:srgbClr val="C59DF5"/>
              </a:solidFill>
              <a:latin typeface="Aptos Narrow"/>
              <a:ea typeface="+mn-ea"/>
              <a:cs typeface="+mn-cs"/>
            </a:rPr>
            <a:pPr marL="0" indent="0" algn="l"/>
            <a:t>Accessories</a:t>
          </a:fld>
          <a:endParaRPr lang="ru-RU" sz="1100" b="0" i="0" u="none" strike="noStrike">
            <a:solidFill>
              <a:srgbClr val="C59DF5"/>
            </a:solidFill>
            <a:latin typeface="Aptos Narrow"/>
            <a:ea typeface="+mn-ea"/>
            <a:cs typeface="+mn-cs"/>
          </a:endParaRPr>
        </a:p>
      </xdr:txBody>
    </xdr:sp>
    <xdr:clientData/>
  </xdr:twoCellAnchor>
  <xdr:twoCellAnchor>
    <xdr:from>
      <xdr:col>16</xdr:col>
      <xdr:colOff>538153</xdr:colOff>
      <xdr:row>9</xdr:row>
      <xdr:rowOff>136671</xdr:rowOff>
    </xdr:from>
    <xdr:to>
      <xdr:col>19</xdr:col>
      <xdr:colOff>464653</xdr:colOff>
      <xdr:row>10</xdr:row>
      <xdr:rowOff>121925</xdr:rowOff>
    </xdr:to>
    <xdr:sp macro="" textlink="Processing!A119">
      <xdr:nvSpPr>
        <xdr:cNvPr id="113" name="TextBox 112">
          <a:extLst>
            <a:ext uri="{FF2B5EF4-FFF2-40B4-BE49-F238E27FC236}">
              <a16:creationId xmlns:a16="http://schemas.microsoft.com/office/drawing/2014/main" id="{00000000-0008-0000-0400-000071000000}"/>
            </a:ext>
          </a:extLst>
        </xdr:cNvPr>
        <xdr:cNvSpPr txBox="1"/>
      </xdr:nvSpPr>
      <xdr:spPr>
        <a:xfrm>
          <a:off x="10291753" y="1782591"/>
          <a:ext cx="1755300" cy="168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9D55D88-DD0E-4632-A0D1-9EE29114027B}" type="TxLink">
            <a:rPr lang="en-US" sz="1100" b="0" i="0" u="none" strike="noStrike">
              <a:solidFill>
                <a:srgbClr val="C59DF5"/>
              </a:solidFill>
              <a:latin typeface="Aptos Narrow"/>
              <a:ea typeface="+mn-ea"/>
              <a:cs typeface="+mn-cs"/>
            </a:rPr>
            <a:pPr marL="0" indent="0" algn="l"/>
            <a:t>Appliances</a:t>
          </a:fld>
          <a:endParaRPr lang="ru-RU" sz="1100" b="0" i="0" u="none" strike="noStrike">
            <a:solidFill>
              <a:srgbClr val="C59DF5"/>
            </a:solidFill>
            <a:latin typeface="Aptos Narrow"/>
            <a:ea typeface="+mn-ea"/>
            <a:cs typeface="+mn-cs"/>
          </a:endParaRPr>
        </a:p>
      </xdr:txBody>
    </xdr:sp>
    <xdr:clientData/>
  </xdr:twoCellAnchor>
  <xdr:twoCellAnchor>
    <xdr:from>
      <xdr:col>16</xdr:col>
      <xdr:colOff>538153</xdr:colOff>
      <xdr:row>11</xdr:row>
      <xdr:rowOff>146330</xdr:rowOff>
    </xdr:from>
    <xdr:to>
      <xdr:col>19</xdr:col>
      <xdr:colOff>251293</xdr:colOff>
      <xdr:row>12</xdr:row>
      <xdr:rowOff>137512</xdr:rowOff>
    </xdr:to>
    <xdr:sp macro="" textlink="Processing!A120">
      <xdr:nvSpPr>
        <xdr:cNvPr id="114" name="TextBox 113">
          <a:extLst>
            <a:ext uri="{FF2B5EF4-FFF2-40B4-BE49-F238E27FC236}">
              <a16:creationId xmlns:a16="http://schemas.microsoft.com/office/drawing/2014/main" id="{00000000-0008-0000-0400-000072000000}"/>
            </a:ext>
          </a:extLst>
        </xdr:cNvPr>
        <xdr:cNvSpPr txBox="1"/>
      </xdr:nvSpPr>
      <xdr:spPr>
        <a:xfrm>
          <a:off x="10291753" y="2158010"/>
          <a:ext cx="1541940" cy="174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1A526CE-5A72-4FC7-AB15-5F03762D7E38}" type="TxLink">
            <a:rPr lang="en-US" sz="1100" b="0" i="0" u="none" strike="noStrike">
              <a:solidFill>
                <a:srgbClr val="C59DF5"/>
              </a:solidFill>
              <a:latin typeface="Aptos Narrow"/>
              <a:ea typeface="+mn-ea"/>
              <a:cs typeface="+mn-cs"/>
            </a:rPr>
            <a:pPr marL="0" indent="0" algn="l"/>
            <a:t>Furniture</a:t>
          </a:fld>
          <a:endParaRPr lang="ru-RU" sz="1100" b="0" i="0" u="none" strike="noStrike">
            <a:solidFill>
              <a:srgbClr val="C59DF5"/>
            </a:solidFill>
            <a:latin typeface="Aptos Narrow"/>
            <a:ea typeface="+mn-ea"/>
            <a:cs typeface="+mn-cs"/>
          </a:endParaRPr>
        </a:p>
      </xdr:txBody>
    </xdr:sp>
    <xdr:clientData/>
  </xdr:twoCellAnchor>
  <xdr:twoCellAnchor>
    <xdr:from>
      <xdr:col>16</xdr:col>
      <xdr:colOff>538153</xdr:colOff>
      <xdr:row>13</xdr:row>
      <xdr:rowOff>161917</xdr:rowOff>
    </xdr:from>
    <xdr:to>
      <xdr:col>19</xdr:col>
      <xdr:colOff>403693</xdr:colOff>
      <xdr:row>14</xdr:row>
      <xdr:rowOff>115413</xdr:rowOff>
    </xdr:to>
    <xdr:sp macro="" textlink="Processing!A121">
      <xdr:nvSpPr>
        <xdr:cNvPr id="115" name="TextBox 114">
          <a:extLst>
            <a:ext uri="{FF2B5EF4-FFF2-40B4-BE49-F238E27FC236}">
              <a16:creationId xmlns:a16="http://schemas.microsoft.com/office/drawing/2014/main" id="{00000000-0008-0000-0400-000073000000}"/>
            </a:ext>
          </a:extLst>
        </xdr:cNvPr>
        <xdr:cNvSpPr txBox="1"/>
      </xdr:nvSpPr>
      <xdr:spPr>
        <a:xfrm>
          <a:off x="10291753" y="2539357"/>
          <a:ext cx="1694340" cy="136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E66CA60-3DBB-4319-9A50-97D0836ADAEB}" type="TxLink">
            <a:rPr lang="en-US" sz="1100" b="0" i="0" u="none" strike="noStrike">
              <a:solidFill>
                <a:srgbClr val="C59DF5"/>
              </a:solidFill>
              <a:latin typeface="Aptos Narrow"/>
              <a:ea typeface="+mn-ea"/>
              <a:cs typeface="+mn-cs"/>
            </a:rPr>
            <a:pPr marL="0" indent="0" algn="l"/>
            <a:t>Office Supplies</a:t>
          </a:fld>
          <a:endParaRPr lang="ru-RU" sz="1100" b="0" i="0" u="none" strike="noStrike">
            <a:solidFill>
              <a:srgbClr val="C59DF5"/>
            </a:solidFill>
            <a:latin typeface="Aptos Narrow"/>
            <a:ea typeface="+mn-ea"/>
            <a:cs typeface="+mn-cs"/>
          </a:endParaRPr>
        </a:p>
      </xdr:txBody>
    </xdr:sp>
    <xdr:clientData/>
  </xdr:twoCellAnchor>
  <xdr:twoCellAnchor>
    <xdr:from>
      <xdr:col>16</xdr:col>
      <xdr:colOff>538153</xdr:colOff>
      <xdr:row>15</xdr:row>
      <xdr:rowOff>139817</xdr:rowOff>
    </xdr:from>
    <xdr:to>
      <xdr:col>19</xdr:col>
      <xdr:colOff>277963</xdr:colOff>
      <xdr:row>16</xdr:row>
      <xdr:rowOff>125321</xdr:rowOff>
    </xdr:to>
    <xdr:sp macro="" textlink="Processing!A122">
      <xdr:nvSpPr>
        <xdr:cNvPr id="116" name="TextBox 115">
          <a:extLst>
            <a:ext uri="{FF2B5EF4-FFF2-40B4-BE49-F238E27FC236}">
              <a16:creationId xmlns:a16="http://schemas.microsoft.com/office/drawing/2014/main" id="{00000000-0008-0000-0400-000074000000}"/>
            </a:ext>
          </a:extLst>
        </xdr:cNvPr>
        <xdr:cNvSpPr txBox="1"/>
      </xdr:nvSpPr>
      <xdr:spPr>
        <a:xfrm>
          <a:off x="10291753" y="2883017"/>
          <a:ext cx="1568610" cy="168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F46B691-CAE6-4EAE-857C-861EF61DFFF4}" type="TxLink">
            <a:rPr lang="en-US" sz="1100" b="0" i="0" u="none" strike="noStrike">
              <a:solidFill>
                <a:srgbClr val="C59DF5"/>
              </a:solidFill>
              <a:latin typeface="Aptos Narrow"/>
              <a:ea typeface="+mn-ea"/>
              <a:cs typeface="+mn-cs"/>
            </a:rPr>
            <a:pPr marL="0" indent="0" algn="l"/>
            <a:t>Technology</a:t>
          </a:fld>
          <a:endParaRPr lang="ru-RU" sz="1100" b="0" i="0" u="none" strike="noStrike">
            <a:solidFill>
              <a:srgbClr val="C59DF5"/>
            </a:solidFill>
            <a:latin typeface="Aptos Narrow"/>
            <a:ea typeface="+mn-ea"/>
            <a:cs typeface="+mn-cs"/>
          </a:endParaRPr>
        </a:p>
      </xdr:txBody>
    </xdr:sp>
    <xdr:clientData/>
  </xdr:twoCellAnchor>
  <xdr:twoCellAnchor>
    <xdr:from>
      <xdr:col>19</xdr:col>
      <xdr:colOff>220554</xdr:colOff>
      <xdr:row>7</xdr:row>
      <xdr:rowOff>122796</xdr:rowOff>
    </xdr:from>
    <xdr:to>
      <xdr:col>21</xdr:col>
      <xdr:colOff>1865</xdr:colOff>
      <xdr:row>8</xdr:row>
      <xdr:rowOff>98283</xdr:rowOff>
    </xdr:to>
    <xdr:sp macro="" textlink="Processing!B118">
      <xdr:nvSpPr>
        <xdr:cNvPr id="117" name="TextBox 116">
          <a:extLst>
            <a:ext uri="{FF2B5EF4-FFF2-40B4-BE49-F238E27FC236}">
              <a16:creationId xmlns:a16="http://schemas.microsoft.com/office/drawing/2014/main" id="{00000000-0008-0000-0400-000075000000}"/>
            </a:ext>
          </a:extLst>
        </xdr:cNvPr>
        <xdr:cNvSpPr txBox="1"/>
      </xdr:nvSpPr>
      <xdr:spPr>
        <a:xfrm>
          <a:off x="11802954" y="1402956"/>
          <a:ext cx="1000511" cy="158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15E3D27-FFA8-4D33-87C0-7AFC1C5C479F}" type="TxLink">
            <a:rPr lang="en-US" sz="1200" b="0" i="0" u="none" strike="noStrike">
              <a:solidFill>
                <a:schemeClr val="bg1"/>
              </a:solidFill>
              <a:latin typeface="Aptos Narrow"/>
              <a:ea typeface="+mn-ea"/>
              <a:cs typeface="+mn-cs"/>
            </a:rPr>
            <a:pPr marL="0" indent="0" algn="r"/>
            <a:t> $89 199 </a:t>
          </a:fld>
          <a:endParaRPr lang="ru-RU" sz="1200" b="0" i="0" u="none" strike="noStrike">
            <a:solidFill>
              <a:schemeClr val="bg1"/>
            </a:solidFill>
            <a:latin typeface="Aptos Narrow"/>
            <a:ea typeface="+mn-ea"/>
            <a:cs typeface="+mn-cs"/>
          </a:endParaRPr>
        </a:p>
      </xdr:txBody>
    </xdr:sp>
    <xdr:clientData/>
  </xdr:twoCellAnchor>
  <xdr:twoCellAnchor>
    <xdr:from>
      <xdr:col>19</xdr:col>
      <xdr:colOff>220554</xdr:colOff>
      <xdr:row>9</xdr:row>
      <xdr:rowOff>128128</xdr:rowOff>
    </xdr:from>
    <xdr:to>
      <xdr:col>21</xdr:col>
      <xdr:colOff>1865</xdr:colOff>
      <xdr:row>10</xdr:row>
      <xdr:rowOff>108187</xdr:rowOff>
    </xdr:to>
    <xdr:sp macro="" textlink="Processing!B119">
      <xdr:nvSpPr>
        <xdr:cNvPr id="118" name="TextBox 117">
          <a:extLst>
            <a:ext uri="{FF2B5EF4-FFF2-40B4-BE49-F238E27FC236}">
              <a16:creationId xmlns:a16="http://schemas.microsoft.com/office/drawing/2014/main" id="{00000000-0008-0000-0400-000076000000}"/>
            </a:ext>
          </a:extLst>
        </xdr:cNvPr>
        <xdr:cNvSpPr txBox="1"/>
      </xdr:nvSpPr>
      <xdr:spPr>
        <a:xfrm>
          <a:off x="11802954" y="1774048"/>
          <a:ext cx="1000511" cy="162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0A6B936-014B-4248-B4A3-0B61DED6B4B9}" type="TxLink">
            <a:rPr lang="en-US" sz="1200" b="0" i="0" u="none" strike="noStrike">
              <a:solidFill>
                <a:schemeClr val="bg1"/>
              </a:solidFill>
              <a:latin typeface="Aptos Narrow"/>
              <a:ea typeface="+mn-ea"/>
              <a:cs typeface="+mn-cs"/>
            </a:rPr>
            <a:pPr marL="0" indent="0" algn="r"/>
            <a:t> $55 715 </a:t>
          </a:fld>
          <a:endParaRPr lang="ru-RU" sz="1200" b="0" i="0" u="none" strike="noStrike">
            <a:solidFill>
              <a:schemeClr val="bg1"/>
            </a:solidFill>
            <a:latin typeface="Aptos Narrow"/>
            <a:ea typeface="+mn-ea"/>
            <a:cs typeface="+mn-cs"/>
          </a:endParaRPr>
        </a:p>
      </xdr:txBody>
    </xdr:sp>
    <xdr:clientData/>
  </xdr:twoCellAnchor>
  <xdr:twoCellAnchor>
    <xdr:from>
      <xdr:col>19</xdr:col>
      <xdr:colOff>220554</xdr:colOff>
      <xdr:row>11</xdr:row>
      <xdr:rowOff>138032</xdr:rowOff>
    </xdr:from>
    <xdr:to>
      <xdr:col>21</xdr:col>
      <xdr:colOff>1865</xdr:colOff>
      <xdr:row>12</xdr:row>
      <xdr:rowOff>118091</xdr:rowOff>
    </xdr:to>
    <xdr:sp macro="" textlink="Processing!B120">
      <xdr:nvSpPr>
        <xdr:cNvPr id="119" name="TextBox 118">
          <a:extLst>
            <a:ext uri="{FF2B5EF4-FFF2-40B4-BE49-F238E27FC236}">
              <a16:creationId xmlns:a16="http://schemas.microsoft.com/office/drawing/2014/main" id="{00000000-0008-0000-0400-000077000000}"/>
            </a:ext>
          </a:extLst>
        </xdr:cNvPr>
        <xdr:cNvSpPr txBox="1"/>
      </xdr:nvSpPr>
      <xdr:spPr>
        <a:xfrm>
          <a:off x="11802954" y="2149712"/>
          <a:ext cx="1000511" cy="162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2AE82DB-91B3-4404-AE8B-FBF22F7C0A85}" type="TxLink">
            <a:rPr lang="en-US" sz="1200" b="0" i="0" u="none" strike="noStrike">
              <a:solidFill>
                <a:schemeClr val="bg1"/>
              </a:solidFill>
              <a:latin typeface="Aptos Narrow"/>
              <a:ea typeface="+mn-ea"/>
              <a:cs typeface="+mn-cs"/>
            </a:rPr>
            <a:pPr marL="0" indent="0" algn="r"/>
            <a:t> $64 076 </a:t>
          </a:fld>
          <a:endParaRPr lang="ru-RU" sz="1200" b="0" i="0" u="none" strike="noStrike">
            <a:solidFill>
              <a:schemeClr val="bg1"/>
            </a:solidFill>
            <a:latin typeface="Aptos Narrow"/>
            <a:ea typeface="+mn-ea"/>
            <a:cs typeface="+mn-cs"/>
          </a:endParaRPr>
        </a:p>
      </xdr:txBody>
    </xdr:sp>
    <xdr:clientData/>
  </xdr:twoCellAnchor>
  <xdr:twoCellAnchor>
    <xdr:from>
      <xdr:col>19</xdr:col>
      <xdr:colOff>220554</xdr:colOff>
      <xdr:row>13</xdr:row>
      <xdr:rowOff>147936</xdr:rowOff>
    </xdr:from>
    <xdr:to>
      <xdr:col>21</xdr:col>
      <xdr:colOff>1865</xdr:colOff>
      <xdr:row>14</xdr:row>
      <xdr:rowOff>127995</xdr:rowOff>
    </xdr:to>
    <xdr:sp macro="" textlink="Processing!B121">
      <xdr:nvSpPr>
        <xdr:cNvPr id="120" name="TextBox 119">
          <a:extLst>
            <a:ext uri="{FF2B5EF4-FFF2-40B4-BE49-F238E27FC236}">
              <a16:creationId xmlns:a16="http://schemas.microsoft.com/office/drawing/2014/main" id="{00000000-0008-0000-0400-000078000000}"/>
            </a:ext>
          </a:extLst>
        </xdr:cNvPr>
        <xdr:cNvSpPr txBox="1"/>
      </xdr:nvSpPr>
      <xdr:spPr>
        <a:xfrm>
          <a:off x="11802954" y="2525376"/>
          <a:ext cx="1000511" cy="162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47533F-1442-49BD-B4FE-36FE4108037A}" type="TxLink">
            <a:rPr lang="en-US" sz="1200" b="0" i="0" u="none" strike="noStrike">
              <a:solidFill>
                <a:schemeClr val="bg1"/>
              </a:solidFill>
              <a:latin typeface="Aptos Narrow"/>
              <a:ea typeface="+mn-ea"/>
              <a:cs typeface="+mn-cs"/>
            </a:rPr>
            <a:pPr marL="0" indent="0" algn="r"/>
            <a:t> $88 251 </a:t>
          </a:fld>
          <a:endParaRPr lang="ru-RU" sz="1200" b="0" i="0" u="none" strike="noStrike">
            <a:solidFill>
              <a:schemeClr val="bg1"/>
            </a:solidFill>
            <a:latin typeface="Aptos Narrow"/>
            <a:ea typeface="+mn-ea"/>
            <a:cs typeface="+mn-cs"/>
          </a:endParaRPr>
        </a:p>
      </xdr:txBody>
    </xdr:sp>
    <xdr:clientData/>
  </xdr:twoCellAnchor>
  <xdr:twoCellAnchor>
    <xdr:from>
      <xdr:col>19</xdr:col>
      <xdr:colOff>220554</xdr:colOff>
      <xdr:row>15</xdr:row>
      <xdr:rowOff>157841</xdr:rowOff>
    </xdr:from>
    <xdr:to>
      <xdr:col>21</xdr:col>
      <xdr:colOff>1865</xdr:colOff>
      <xdr:row>16</xdr:row>
      <xdr:rowOff>137901</xdr:rowOff>
    </xdr:to>
    <xdr:sp macro="" textlink="Processing!B122">
      <xdr:nvSpPr>
        <xdr:cNvPr id="121" name="TextBox 120">
          <a:extLst>
            <a:ext uri="{FF2B5EF4-FFF2-40B4-BE49-F238E27FC236}">
              <a16:creationId xmlns:a16="http://schemas.microsoft.com/office/drawing/2014/main" id="{00000000-0008-0000-0400-000079000000}"/>
            </a:ext>
          </a:extLst>
        </xdr:cNvPr>
        <xdr:cNvSpPr txBox="1"/>
      </xdr:nvSpPr>
      <xdr:spPr>
        <a:xfrm>
          <a:off x="11802954" y="2901041"/>
          <a:ext cx="1000511" cy="162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1089552-6DCA-48C7-87DA-63F847D7522B}" type="TxLink">
            <a:rPr lang="en-US" sz="1200" b="0" i="0" u="none" strike="noStrike">
              <a:solidFill>
                <a:schemeClr val="bg1"/>
              </a:solidFill>
              <a:latin typeface="Aptos Narrow"/>
              <a:ea typeface="+mn-ea"/>
              <a:cs typeface="+mn-cs"/>
            </a:rPr>
            <a:pPr marL="0" indent="0" algn="r"/>
            <a:t> $104 425 </a:t>
          </a:fld>
          <a:endParaRPr lang="ru-RU" sz="1200" b="0" i="0" u="none" strike="noStrike">
            <a:solidFill>
              <a:schemeClr val="bg1"/>
            </a:solidFill>
            <a:latin typeface="Aptos Narrow"/>
            <a:ea typeface="+mn-ea"/>
            <a:cs typeface="+mn-cs"/>
          </a:endParaRPr>
        </a:p>
      </xdr:txBody>
    </xdr:sp>
    <xdr:clientData/>
  </xdr:twoCellAnchor>
  <xdr:twoCellAnchor>
    <xdr:from>
      <xdr:col>16</xdr:col>
      <xdr:colOff>475376</xdr:colOff>
      <xdr:row>7</xdr:row>
      <xdr:rowOff>76899</xdr:rowOff>
    </xdr:from>
    <xdr:to>
      <xdr:col>21</xdr:col>
      <xdr:colOff>31262</xdr:colOff>
      <xdr:row>18</xdr:row>
      <xdr:rowOff>67141</xdr:rowOff>
    </xdr:to>
    <xdr:graphicFrame macro="">
      <xdr:nvGraphicFramePr>
        <xdr:cNvPr id="122" name="Chart 121">
          <a:extLst>
            <a:ext uri="{FF2B5EF4-FFF2-40B4-BE49-F238E27FC236}">
              <a16:creationId xmlns:a16="http://schemas.microsoft.com/office/drawing/2014/main" id="{00000000-0008-0000-0400-00007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12</xdr:row>
      <xdr:rowOff>59332</xdr:rowOff>
    </xdr:from>
    <xdr:to>
      <xdr:col>4</xdr:col>
      <xdr:colOff>195743</xdr:colOff>
      <xdr:row>13</xdr:row>
      <xdr:rowOff>153543</xdr:rowOff>
    </xdr:to>
    <xdr:sp macro="" textlink="Processing!A126">
      <xdr:nvSpPr>
        <xdr:cNvPr id="124" name="TextBox 123">
          <a:extLst>
            <a:ext uri="{FF2B5EF4-FFF2-40B4-BE49-F238E27FC236}">
              <a16:creationId xmlns:a16="http://schemas.microsoft.com/office/drawing/2014/main" id="{00000000-0008-0000-0400-00007C000000}"/>
            </a:ext>
          </a:extLst>
        </xdr:cNvPr>
        <xdr:cNvSpPr txBox="1"/>
      </xdr:nvSpPr>
      <xdr:spPr>
        <a:xfrm>
          <a:off x="0" y="2240470"/>
          <a:ext cx="2628550"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C19325C-6076-4C92-BC6C-788AA3D1EBEC}" type="TxLink">
            <a:rPr lang="en-US" sz="1400" b="0" i="1" u="none" strike="noStrike">
              <a:solidFill>
                <a:schemeClr val="bg1"/>
              </a:solidFill>
              <a:latin typeface="Aptos Narrow"/>
              <a:ea typeface="+mn-ea"/>
              <a:cs typeface="+mn-cs"/>
            </a:rPr>
            <a:pPr marL="0" indent="0" algn="ctr"/>
            <a:t>Monthly QTY Performance</a:t>
          </a:fld>
          <a:endParaRPr lang="ru-RU" sz="1400" b="0" i="1" u="none" strike="noStrike">
            <a:solidFill>
              <a:schemeClr val="bg1"/>
            </a:solidFill>
            <a:latin typeface="Aptos Narrow"/>
            <a:ea typeface="+mn-ea"/>
            <a:cs typeface="+mn-cs"/>
          </a:endParaRPr>
        </a:p>
      </xdr:txBody>
    </xdr:sp>
    <xdr:clientData/>
  </xdr:twoCellAnchor>
  <xdr:twoCellAnchor>
    <xdr:from>
      <xdr:col>7</xdr:col>
      <xdr:colOff>377172</xdr:colOff>
      <xdr:row>12</xdr:row>
      <xdr:rowOff>44721</xdr:rowOff>
    </xdr:from>
    <xdr:to>
      <xdr:col>9</xdr:col>
      <xdr:colOff>214221</xdr:colOff>
      <xdr:row>13</xdr:row>
      <xdr:rowOff>138932</xdr:rowOff>
    </xdr:to>
    <xdr:sp macro="" textlink="Processing!C139">
      <xdr:nvSpPr>
        <xdr:cNvPr id="125" name="TextBox 124">
          <a:extLst>
            <a:ext uri="{FF2B5EF4-FFF2-40B4-BE49-F238E27FC236}">
              <a16:creationId xmlns:a16="http://schemas.microsoft.com/office/drawing/2014/main" id="{00000000-0008-0000-0400-00007D000000}"/>
            </a:ext>
          </a:extLst>
        </xdr:cNvPr>
        <xdr:cNvSpPr txBox="1"/>
      </xdr:nvSpPr>
      <xdr:spPr>
        <a:xfrm>
          <a:off x="4634585" y="2225859"/>
          <a:ext cx="1053453"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FDD649F-AAAA-476D-AA85-7BA03CB8F26B}" type="TxLink">
            <a:rPr lang="en-US" sz="1600" b="0" i="1" u="none" strike="noStrike">
              <a:solidFill>
                <a:schemeClr val="bg1"/>
              </a:solidFill>
              <a:latin typeface="Aptos Narrow"/>
              <a:ea typeface="+mn-ea"/>
              <a:cs typeface="+mn-cs"/>
            </a:rPr>
            <a:pPr marL="0" indent="0" algn="l"/>
            <a:t> 2 103 </a:t>
          </a:fld>
          <a:endParaRPr lang="ru-RU" sz="1600" b="0" i="1" u="none" strike="noStrike">
            <a:solidFill>
              <a:schemeClr val="bg1"/>
            </a:solidFill>
            <a:latin typeface="Aptos Narrow"/>
            <a:ea typeface="+mn-ea"/>
            <a:cs typeface="+mn-cs"/>
          </a:endParaRPr>
        </a:p>
      </xdr:txBody>
    </xdr:sp>
    <xdr:clientData/>
  </xdr:twoCellAnchor>
  <xdr:twoCellAnchor editAs="oneCell">
    <xdr:from>
      <xdr:col>0</xdr:col>
      <xdr:colOff>602673</xdr:colOff>
      <xdr:row>22</xdr:row>
      <xdr:rowOff>148248</xdr:rowOff>
    </xdr:from>
    <xdr:to>
      <xdr:col>8</xdr:col>
      <xdr:colOff>342550</xdr:colOff>
      <xdr:row>24</xdr:row>
      <xdr:rowOff>153790</xdr:rowOff>
    </xdr:to>
    <mc:AlternateContent xmlns:mc="http://schemas.openxmlformats.org/markup-compatibility/2006" xmlns:a14="http://schemas.microsoft.com/office/drawing/2010/main">
      <mc:Choice Requires="a14">
        <xdr:graphicFrame macro="">
          <xdr:nvGraphicFramePr>
            <xdr:cNvPr id="57" name="Months (Order_Date) 2">
              <a:extLst>
                <a:ext uri="{FF2B5EF4-FFF2-40B4-BE49-F238E27FC236}">
                  <a16:creationId xmlns:a16="http://schemas.microsoft.com/office/drawing/2014/main" id="{00000000-0008-0000-0400-000039000000}"/>
                </a:ext>
              </a:extLst>
            </xdr:cNvPr>
            <xdr:cNvGraphicFramePr/>
          </xdr:nvGraphicFramePr>
          <xdr:xfrm>
            <a:off x="0" y="0"/>
            <a:ext cx="0" cy="0"/>
          </xdr:xfrm>
          <a:graphic>
            <a:graphicData uri="http://schemas.microsoft.com/office/drawing/2010/slicer">
              <sle:slicer xmlns:sle="http://schemas.microsoft.com/office/drawing/2010/slicer" name="Months (Order_Date) 2"/>
            </a:graphicData>
          </a:graphic>
        </xdr:graphicFrame>
      </mc:Choice>
      <mc:Fallback xmlns="">
        <xdr:sp macro="" textlink="">
          <xdr:nvSpPr>
            <xdr:cNvPr id="0" name=""/>
            <xdr:cNvSpPr>
              <a:spLocks noTextEdit="1"/>
            </xdr:cNvSpPr>
          </xdr:nvSpPr>
          <xdr:spPr>
            <a:xfrm>
              <a:off x="602673" y="4147000"/>
              <a:ext cx="4605492" cy="369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356532</xdr:colOff>
      <xdr:row>27</xdr:row>
      <xdr:rowOff>48934</xdr:rowOff>
    </xdr:from>
    <xdr:to>
      <xdr:col>16</xdr:col>
      <xdr:colOff>412460</xdr:colOff>
      <xdr:row>35</xdr:row>
      <xdr:rowOff>181062</xdr:rowOff>
    </xdr:to>
    <xdr:sp macro="" textlink="">
      <xdr:nvSpPr>
        <xdr:cNvPr id="126" name="Rectangle: Rounded Corners 125">
          <a:extLst>
            <a:ext uri="{FF2B5EF4-FFF2-40B4-BE49-F238E27FC236}">
              <a16:creationId xmlns:a16="http://schemas.microsoft.com/office/drawing/2014/main" id="{00000000-0008-0000-0400-00007E000000}"/>
            </a:ext>
          </a:extLst>
        </xdr:cNvPr>
        <xdr:cNvSpPr/>
      </xdr:nvSpPr>
      <xdr:spPr>
        <a:xfrm>
          <a:off x="7046752" y="4956494"/>
          <a:ext cx="3096937" cy="1586219"/>
        </a:xfrm>
        <a:prstGeom prst="roundRect">
          <a:avLst>
            <a:gd name="adj" fmla="val 5375"/>
          </a:avLst>
        </a:prstGeom>
        <a:solidFill>
          <a:srgbClr val="050714"/>
        </a:solidFill>
        <a:ln w="12700">
          <a:gradFill flip="none" rotWithShape="1">
            <a:gsLst>
              <a:gs pos="0">
                <a:srgbClr val="1E4F78"/>
              </a:gs>
              <a:gs pos="100000">
                <a:srgbClr val="3F116A"/>
              </a:gs>
            </a:gsLst>
            <a:path path="circle">
              <a:fillToRect r="100000" b="100000"/>
            </a:path>
            <a:tileRect l="-100000" t="-10000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552274</xdr:colOff>
      <xdr:row>27</xdr:row>
      <xdr:rowOff>118842</xdr:rowOff>
    </xdr:from>
    <xdr:to>
      <xdr:col>11</xdr:col>
      <xdr:colOff>373589</xdr:colOff>
      <xdr:row>36</xdr:row>
      <xdr:rowOff>101477</xdr:rowOff>
    </xdr:to>
    <xdr:graphicFrame macro="">
      <xdr:nvGraphicFramePr>
        <xdr:cNvPr id="127" name="Chart 126">
          <a:extLst>
            <a:ext uri="{FF2B5EF4-FFF2-40B4-BE49-F238E27FC236}">
              <a16:creationId xmlns:a16="http://schemas.microsoft.com/office/drawing/2014/main" id="{00000000-0008-0000-0400-00007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584244</xdr:colOff>
      <xdr:row>27</xdr:row>
      <xdr:rowOff>17388</xdr:rowOff>
    </xdr:from>
    <xdr:to>
      <xdr:col>12</xdr:col>
      <xdr:colOff>104865</xdr:colOff>
      <xdr:row>28</xdr:row>
      <xdr:rowOff>111599</xdr:rowOff>
    </xdr:to>
    <xdr:sp macro="" textlink="Processing!A141">
      <xdr:nvSpPr>
        <xdr:cNvPr id="129" name="TextBox 128">
          <a:extLst>
            <a:ext uri="{FF2B5EF4-FFF2-40B4-BE49-F238E27FC236}">
              <a16:creationId xmlns:a16="http://schemas.microsoft.com/office/drawing/2014/main" id="{00000000-0008-0000-0400-000081000000}"/>
            </a:ext>
          </a:extLst>
        </xdr:cNvPr>
        <xdr:cNvSpPr txBox="1"/>
      </xdr:nvSpPr>
      <xdr:spPr>
        <a:xfrm>
          <a:off x="5449859" y="4924948"/>
          <a:ext cx="1953428"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77F58E-4567-41B5-8BCB-6E6EA52E244E}" type="TxLink">
            <a:rPr lang="en-US" sz="1400" b="0" i="1" u="none" strike="noStrike">
              <a:solidFill>
                <a:schemeClr val="bg1"/>
              </a:solidFill>
              <a:latin typeface="Aptos Narrow"/>
              <a:ea typeface="+mn-ea"/>
              <a:cs typeface="+mn-cs"/>
            </a:rPr>
            <a:pPr marL="0" indent="0"/>
            <a:t>Avg Discount %</a:t>
          </a:fld>
          <a:endParaRPr lang="ru-RU" sz="1400" b="0" i="1" u="none" strike="noStrike">
            <a:solidFill>
              <a:schemeClr val="bg1"/>
            </a:solidFill>
            <a:latin typeface="Aptos Narrow"/>
            <a:ea typeface="+mn-ea"/>
            <a:cs typeface="+mn-cs"/>
          </a:endParaRPr>
        </a:p>
      </xdr:txBody>
    </xdr:sp>
    <xdr:clientData/>
  </xdr:twoCellAnchor>
  <xdr:twoCellAnchor>
    <xdr:from>
      <xdr:col>9</xdr:col>
      <xdr:colOff>401268</xdr:colOff>
      <xdr:row>30</xdr:row>
      <xdr:rowOff>21805</xdr:rowOff>
    </xdr:from>
    <xdr:to>
      <xdr:col>10</xdr:col>
      <xdr:colOff>533713</xdr:colOff>
      <xdr:row>34</xdr:row>
      <xdr:rowOff>16753</xdr:rowOff>
    </xdr:to>
    <xdr:sp macro="" textlink="">
      <xdr:nvSpPr>
        <xdr:cNvPr id="130" name="Oval 129">
          <a:extLst>
            <a:ext uri="{FF2B5EF4-FFF2-40B4-BE49-F238E27FC236}">
              <a16:creationId xmlns:a16="http://schemas.microsoft.com/office/drawing/2014/main" id="{00000000-0008-0000-0400-000082000000}"/>
            </a:ext>
          </a:extLst>
        </xdr:cNvPr>
        <xdr:cNvSpPr/>
      </xdr:nvSpPr>
      <xdr:spPr>
        <a:xfrm>
          <a:off x="5875085" y="5474649"/>
          <a:ext cx="740646" cy="721994"/>
        </a:xfrm>
        <a:prstGeom prst="ellipse">
          <a:avLst/>
        </a:prstGeom>
        <a:noFill/>
        <a:ln w="12700">
          <a:solidFill>
            <a:srgbClr val="19405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350748</xdr:colOff>
      <xdr:row>31</xdr:row>
      <xdr:rowOff>43343</xdr:rowOff>
    </xdr:from>
    <xdr:to>
      <xdr:col>11</xdr:col>
      <xdr:colOff>31958</xdr:colOff>
      <xdr:row>32</xdr:row>
      <xdr:rowOff>121050</xdr:rowOff>
    </xdr:to>
    <xdr:sp macro="" textlink="Processing!A142">
      <xdr:nvSpPr>
        <xdr:cNvPr id="133" name="TextBox 132">
          <a:extLst>
            <a:ext uri="{FF2B5EF4-FFF2-40B4-BE49-F238E27FC236}">
              <a16:creationId xmlns:a16="http://schemas.microsoft.com/office/drawing/2014/main" id="{00000000-0008-0000-0400-000085000000}"/>
            </a:ext>
          </a:extLst>
        </xdr:cNvPr>
        <xdr:cNvSpPr txBox="1"/>
      </xdr:nvSpPr>
      <xdr:spPr>
        <a:xfrm>
          <a:off x="5824565" y="5677949"/>
          <a:ext cx="897613" cy="2594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48DFC45-4E56-464C-A57B-EC499E98CB7C}" type="TxLink">
            <a:rPr lang="en-US" sz="1800" b="0" i="0" u="none" strike="noStrike">
              <a:solidFill>
                <a:srgbClr val="DAE3F3"/>
              </a:solidFill>
              <a:latin typeface="Aptos Narrow"/>
              <a:ea typeface="+mn-ea"/>
              <a:cs typeface="+mn-cs"/>
            </a:rPr>
            <a:pPr marL="0" indent="0" algn="ctr"/>
            <a:t>20%</a:t>
          </a:fld>
          <a:endParaRPr lang="ru-RU" sz="1800" b="0" i="0" u="none" strike="noStrike">
            <a:solidFill>
              <a:srgbClr val="DAE3F3"/>
            </a:solidFill>
            <a:latin typeface="Aptos Narrow"/>
            <a:ea typeface="+mn-ea"/>
            <a:cs typeface="+mn-cs"/>
          </a:endParaRPr>
        </a:p>
      </xdr:txBody>
    </xdr:sp>
    <xdr:clientData/>
  </xdr:twoCellAnchor>
  <xdr:twoCellAnchor>
    <xdr:from>
      <xdr:col>13</xdr:col>
      <xdr:colOff>545282</xdr:colOff>
      <xdr:row>26</xdr:row>
      <xdr:rowOff>104862</xdr:rowOff>
    </xdr:from>
    <xdr:to>
      <xdr:col>16</xdr:col>
      <xdr:colOff>571568</xdr:colOff>
      <xdr:row>36</xdr:row>
      <xdr:rowOff>138138</xdr:rowOff>
    </xdr:to>
    <xdr:graphicFrame macro="">
      <xdr:nvGraphicFramePr>
        <xdr:cNvPr id="55" name="Chart 54">
          <a:extLst>
            <a:ext uri="{FF2B5EF4-FFF2-40B4-BE49-F238E27FC236}">
              <a16:creationId xmlns:a16="http://schemas.microsoft.com/office/drawing/2014/main" id="{00000000-0008-0000-04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438070</xdr:colOff>
      <xdr:row>30</xdr:row>
      <xdr:rowOff>48237</xdr:rowOff>
    </xdr:from>
    <xdr:to>
      <xdr:col>12</xdr:col>
      <xdr:colOff>12748</xdr:colOff>
      <xdr:row>31</xdr:row>
      <xdr:rowOff>51008</xdr:rowOff>
    </xdr:to>
    <xdr:sp macro="" textlink="">
      <xdr:nvSpPr>
        <xdr:cNvPr id="86" name="Rectangle: Rounded Corners 85">
          <a:extLst>
            <a:ext uri="{FF2B5EF4-FFF2-40B4-BE49-F238E27FC236}">
              <a16:creationId xmlns:a16="http://schemas.microsoft.com/office/drawing/2014/main" id="{00000000-0008-0000-0400-000056000000}"/>
            </a:ext>
          </a:extLst>
        </xdr:cNvPr>
        <xdr:cNvSpPr/>
      </xdr:nvSpPr>
      <xdr:spPr>
        <a:xfrm>
          <a:off x="7128290" y="5501081"/>
          <a:ext cx="182880" cy="184533"/>
        </a:xfrm>
        <a:prstGeom prst="roundRect">
          <a:avLst>
            <a:gd name="adj" fmla="val 29570"/>
          </a:avLst>
        </a:prstGeom>
        <a:gradFill>
          <a:gsLst>
            <a:gs pos="0">
              <a:srgbClr val="09C3F2"/>
            </a:gs>
            <a:gs pos="100000">
              <a:srgbClr val="06D3D9"/>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438070</xdr:colOff>
      <xdr:row>32</xdr:row>
      <xdr:rowOff>16052</xdr:rowOff>
    </xdr:from>
    <xdr:to>
      <xdr:col>12</xdr:col>
      <xdr:colOff>12748</xdr:colOff>
      <xdr:row>33</xdr:row>
      <xdr:rowOff>18824</xdr:rowOff>
    </xdr:to>
    <xdr:sp macro="" textlink="">
      <xdr:nvSpPr>
        <xdr:cNvPr id="87" name="Rectangle: Rounded Corners 86">
          <a:extLst>
            <a:ext uri="{FF2B5EF4-FFF2-40B4-BE49-F238E27FC236}">
              <a16:creationId xmlns:a16="http://schemas.microsoft.com/office/drawing/2014/main" id="{00000000-0008-0000-0400-000057000000}"/>
            </a:ext>
          </a:extLst>
        </xdr:cNvPr>
        <xdr:cNvSpPr/>
      </xdr:nvSpPr>
      <xdr:spPr>
        <a:xfrm>
          <a:off x="7128290" y="5832419"/>
          <a:ext cx="182880" cy="184533"/>
        </a:xfrm>
        <a:prstGeom prst="roundRect">
          <a:avLst>
            <a:gd name="adj" fmla="val 29570"/>
          </a:avLst>
        </a:prstGeom>
        <a:gradFill>
          <a:gsLst>
            <a:gs pos="0">
              <a:srgbClr val="2C71E7"/>
            </a:gs>
            <a:gs pos="100000">
              <a:srgbClr val="2373DF"/>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353547</xdr:colOff>
      <xdr:row>27</xdr:row>
      <xdr:rowOff>17388</xdr:rowOff>
    </xdr:from>
    <xdr:to>
      <xdr:col>13</xdr:col>
      <xdr:colOff>342550</xdr:colOff>
      <xdr:row>28</xdr:row>
      <xdr:rowOff>111599</xdr:rowOff>
    </xdr:to>
    <xdr:sp macro="" textlink="Processing!A144">
      <xdr:nvSpPr>
        <xdr:cNvPr id="128" name="TextBox 127">
          <a:extLst>
            <a:ext uri="{FF2B5EF4-FFF2-40B4-BE49-F238E27FC236}">
              <a16:creationId xmlns:a16="http://schemas.microsoft.com/office/drawing/2014/main" id="{00000000-0008-0000-0400-000080000000}"/>
            </a:ext>
          </a:extLst>
        </xdr:cNvPr>
        <xdr:cNvSpPr txBox="1"/>
      </xdr:nvSpPr>
      <xdr:spPr>
        <a:xfrm>
          <a:off x="7043767" y="4924948"/>
          <a:ext cx="1205407" cy="275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AC43610-F5BF-45D4-B54B-D0CAA18F6B2F}" type="TxLink">
            <a:rPr lang="en-US" sz="1400" b="0" i="1" u="none" strike="noStrike">
              <a:solidFill>
                <a:schemeClr val="bg1"/>
              </a:solidFill>
              <a:latin typeface="Aptos Narrow"/>
              <a:ea typeface="+mn-ea"/>
              <a:cs typeface="+mn-cs"/>
            </a:rPr>
            <a:pPr marL="0" indent="0"/>
            <a:t>Order Priority</a:t>
          </a:fld>
          <a:endParaRPr lang="ru-RU" sz="1400" b="0" i="1" u="none" strike="noStrike">
            <a:solidFill>
              <a:schemeClr val="bg1"/>
            </a:solidFill>
            <a:latin typeface="Aptos Narrow"/>
            <a:ea typeface="+mn-ea"/>
            <a:cs typeface="+mn-cs"/>
          </a:endParaRPr>
        </a:p>
      </xdr:txBody>
    </xdr:sp>
    <xdr:clientData/>
  </xdr:twoCellAnchor>
  <xdr:twoCellAnchor>
    <xdr:from>
      <xdr:col>12</xdr:col>
      <xdr:colOff>9072</xdr:colOff>
      <xdr:row>29</xdr:row>
      <xdr:rowOff>145282</xdr:rowOff>
    </xdr:from>
    <xdr:to>
      <xdr:col>13</xdr:col>
      <xdr:colOff>409087</xdr:colOff>
      <xdr:row>31</xdr:row>
      <xdr:rowOff>120344</xdr:rowOff>
    </xdr:to>
    <xdr:sp macro="" textlink="Processing!A145">
      <xdr:nvSpPr>
        <xdr:cNvPr id="131" name="TextBox 130">
          <a:extLst>
            <a:ext uri="{FF2B5EF4-FFF2-40B4-BE49-F238E27FC236}">
              <a16:creationId xmlns:a16="http://schemas.microsoft.com/office/drawing/2014/main" id="{00000000-0008-0000-0400-000083000000}"/>
            </a:ext>
          </a:extLst>
        </xdr:cNvPr>
        <xdr:cNvSpPr txBox="1"/>
      </xdr:nvSpPr>
      <xdr:spPr>
        <a:xfrm>
          <a:off x="7307494" y="5416365"/>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E0175E4-3C84-422B-A6DB-278893901836}" type="TxLink">
            <a:rPr lang="en-US" sz="1400" b="0" i="0" u="none" strike="noStrike">
              <a:solidFill>
                <a:schemeClr val="bg1"/>
              </a:solidFill>
              <a:latin typeface="Aptos Narrow"/>
              <a:ea typeface="+mn-ea"/>
              <a:cs typeface="+mn-cs"/>
            </a:rPr>
            <a:pPr marL="0" indent="0" algn="l"/>
            <a:t>Express</a:t>
          </a:fld>
          <a:endParaRPr lang="ru-RU" sz="1400" b="0" i="0" u="none" strike="noStrike">
            <a:solidFill>
              <a:schemeClr val="bg1"/>
            </a:solidFill>
            <a:latin typeface="Aptos Narrow"/>
            <a:ea typeface="+mn-ea"/>
            <a:cs typeface="+mn-cs"/>
          </a:endParaRPr>
        </a:p>
      </xdr:txBody>
    </xdr:sp>
    <xdr:clientData/>
  </xdr:twoCellAnchor>
  <xdr:twoCellAnchor>
    <xdr:from>
      <xdr:col>12</xdr:col>
      <xdr:colOff>9072</xdr:colOff>
      <xdr:row>31</xdr:row>
      <xdr:rowOff>110328</xdr:rowOff>
    </xdr:from>
    <xdr:to>
      <xdr:col>13</xdr:col>
      <xdr:colOff>409087</xdr:colOff>
      <xdr:row>33</xdr:row>
      <xdr:rowOff>85391</xdr:rowOff>
    </xdr:to>
    <xdr:sp macro="" textlink="Processing!A146">
      <xdr:nvSpPr>
        <xdr:cNvPr id="134" name="TextBox 133">
          <a:extLst>
            <a:ext uri="{FF2B5EF4-FFF2-40B4-BE49-F238E27FC236}">
              <a16:creationId xmlns:a16="http://schemas.microsoft.com/office/drawing/2014/main" id="{00000000-0008-0000-0400-000086000000}"/>
            </a:ext>
          </a:extLst>
        </xdr:cNvPr>
        <xdr:cNvSpPr txBox="1"/>
      </xdr:nvSpPr>
      <xdr:spPr>
        <a:xfrm>
          <a:off x="7307494" y="5744934"/>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4C522A1-04A0-4BE2-986F-75CFAD59F278}" type="TxLink">
            <a:rPr lang="en-US" sz="1400" b="0" i="0" u="none" strike="noStrike">
              <a:solidFill>
                <a:schemeClr val="bg1"/>
              </a:solidFill>
              <a:latin typeface="Aptos Narrow"/>
              <a:ea typeface="+mn-ea"/>
              <a:cs typeface="+mn-cs"/>
            </a:rPr>
            <a:pPr marL="0" indent="0" algn="l"/>
            <a:t>Standard</a:t>
          </a:fld>
          <a:endParaRPr lang="ru-RU" sz="1400" b="0" i="0" u="none" strike="noStrike">
            <a:solidFill>
              <a:schemeClr val="bg1"/>
            </a:solidFill>
            <a:latin typeface="Aptos Narrow"/>
            <a:ea typeface="+mn-ea"/>
            <a:cs typeface="+mn-cs"/>
          </a:endParaRPr>
        </a:p>
      </xdr:txBody>
    </xdr:sp>
    <xdr:clientData/>
  </xdr:twoCellAnchor>
  <xdr:twoCellAnchor>
    <xdr:from>
      <xdr:col>14</xdr:col>
      <xdr:colOff>425937</xdr:colOff>
      <xdr:row>31</xdr:row>
      <xdr:rowOff>121499</xdr:rowOff>
    </xdr:from>
    <xdr:to>
      <xdr:col>16</xdr:col>
      <xdr:colOff>82711</xdr:colOff>
      <xdr:row>31</xdr:row>
      <xdr:rowOff>121499</xdr:rowOff>
    </xdr:to>
    <xdr:cxnSp macro="">
      <xdr:nvCxnSpPr>
        <xdr:cNvPr id="135" name="Straight Connector 134">
          <a:extLst>
            <a:ext uri="{FF2B5EF4-FFF2-40B4-BE49-F238E27FC236}">
              <a16:creationId xmlns:a16="http://schemas.microsoft.com/office/drawing/2014/main" id="{00000000-0008-0000-0400-000087000000}"/>
            </a:ext>
          </a:extLst>
        </xdr:cNvPr>
        <xdr:cNvCxnSpPr/>
      </xdr:nvCxnSpPr>
      <xdr:spPr>
        <a:xfrm>
          <a:off x="8940763" y="5756105"/>
          <a:ext cx="873177" cy="0"/>
        </a:xfrm>
        <a:prstGeom prst="line">
          <a:avLst/>
        </a:prstGeom>
        <a:ln>
          <a:solidFill>
            <a:srgbClr val="3DBEFF"/>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393567</xdr:colOff>
      <xdr:row>29</xdr:row>
      <xdr:rowOff>145282</xdr:rowOff>
    </xdr:from>
    <xdr:to>
      <xdr:col>16</xdr:col>
      <xdr:colOff>185381</xdr:colOff>
      <xdr:row>31</xdr:row>
      <xdr:rowOff>120344</xdr:rowOff>
    </xdr:to>
    <xdr:sp macro="" textlink="Processing!B145">
      <xdr:nvSpPr>
        <xdr:cNvPr id="137" name="TextBox 136">
          <a:extLst>
            <a:ext uri="{FF2B5EF4-FFF2-40B4-BE49-F238E27FC236}">
              <a16:creationId xmlns:a16="http://schemas.microsoft.com/office/drawing/2014/main" id="{00000000-0008-0000-0400-000089000000}"/>
            </a:ext>
          </a:extLst>
        </xdr:cNvPr>
        <xdr:cNvSpPr txBox="1"/>
      </xdr:nvSpPr>
      <xdr:spPr>
        <a:xfrm>
          <a:off x="8908393" y="5416365"/>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CE9C89F-75DD-4CC5-A925-DB74250994E7}" type="TxLink">
            <a:rPr lang="en-US" sz="1400" b="0" i="0" u="none" strike="noStrike">
              <a:solidFill>
                <a:schemeClr val="bg1">
                  <a:lumMod val="95000"/>
                </a:schemeClr>
              </a:solidFill>
              <a:latin typeface="Aptos Narrow"/>
              <a:ea typeface="+mn-ea"/>
              <a:cs typeface="+mn-cs"/>
            </a:rPr>
            <a:pPr marL="0" indent="0" algn="ctr"/>
            <a:t> $96 898 </a:t>
          </a:fld>
          <a:endParaRPr lang="ru-RU" sz="1400" b="0" i="0" u="none" strike="noStrike">
            <a:solidFill>
              <a:schemeClr val="bg1">
                <a:lumMod val="95000"/>
              </a:schemeClr>
            </a:solidFill>
            <a:latin typeface="Aptos Narrow"/>
            <a:ea typeface="+mn-ea"/>
            <a:cs typeface="+mn-cs"/>
          </a:endParaRPr>
        </a:p>
      </xdr:txBody>
    </xdr:sp>
    <xdr:clientData/>
  </xdr:twoCellAnchor>
  <xdr:twoCellAnchor>
    <xdr:from>
      <xdr:col>14</xdr:col>
      <xdr:colOff>393567</xdr:colOff>
      <xdr:row>31</xdr:row>
      <xdr:rowOff>110328</xdr:rowOff>
    </xdr:from>
    <xdr:to>
      <xdr:col>16</xdr:col>
      <xdr:colOff>185381</xdr:colOff>
      <xdr:row>33</xdr:row>
      <xdr:rowOff>85391</xdr:rowOff>
    </xdr:to>
    <xdr:sp macro="" textlink="Processing!B146">
      <xdr:nvSpPr>
        <xdr:cNvPr id="138" name="TextBox 137">
          <a:extLst>
            <a:ext uri="{FF2B5EF4-FFF2-40B4-BE49-F238E27FC236}">
              <a16:creationId xmlns:a16="http://schemas.microsoft.com/office/drawing/2014/main" id="{00000000-0008-0000-0400-00008A000000}"/>
            </a:ext>
          </a:extLst>
        </xdr:cNvPr>
        <xdr:cNvSpPr txBox="1"/>
      </xdr:nvSpPr>
      <xdr:spPr>
        <a:xfrm>
          <a:off x="8908393" y="5744934"/>
          <a:ext cx="1008217" cy="338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99148A-D637-4CD3-9164-1917C9A6BE56}" type="TxLink">
            <a:rPr lang="en-US" sz="1400" b="0" i="0" u="none" strike="noStrike">
              <a:solidFill>
                <a:schemeClr val="bg1">
                  <a:lumMod val="95000"/>
                </a:schemeClr>
              </a:solidFill>
              <a:latin typeface="Aptos Narrow"/>
              <a:ea typeface="+mn-ea"/>
              <a:cs typeface="+mn-cs"/>
            </a:rPr>
            <a:pPr marL="0" indent="0" algn="ctr"/>
            <a:t> $304 767 </a:t>
          </a:fld>
          <a:endParaRPr lang="ru-RU" sz="1400" b="0" i="0" u="none" strike="noStrike">
            <a:solidFill>
              <a:schemeClr val="bg1">
                <a:lumMod val="95000"/>
              </a:schemeClr>
            </a:solidFill>
            <a:latin typeface="Aptos Narrow"/>
            <a:ea typeface="+mn-ea"/>
            <a:cs typeface="+mn-cs"/>
          </a:endParaRPr>
        </a:p>
      </xdr:txBody>
    </xdr:sp>
    <xdr:clientData/>
  </xdr:twoCellAnchor>
  <xdr:twoCellAnchor>
    <xdr:from>
      <xdr:col>13</xdr:col>
      <xdr:colOff>223705</xdr:colOff>
      <xdr:row>29</xdr:row>
      <xdr:rowOff>153239</xdr:rowOff>
    </xdr:from>
    <xdr:to>
      <xdr:col>14</xdr:col>
      <xdr:colOff>347023</xdr:colOff>
      <xdr:row>31</xdr:row>
      <xdr:rowOff>64036</xdr:rowOff>
    </xdr:to>
    <xdr:sp macro="" textlink="Processing!C145">
      <xdr:nvSpPr>
        <xdr:cNvPr id="139" name="TextBox 138">
          <a:extLst>
            <a:ext uri="{FF2B5EF4-FFF2-40B4-BE49-F238E27FC236}">
              <a16:creationId xmlns:a16="http://schemas.microsoft.com/office/drawing/2014/main" id="{00000000-0008-0000-0400-00008B000000}"/>
            </a:ext>
          </a:extLst>
        </xdr:cNvPr>
        <xdr:cNvSpPr txBox="1"/>
      </xdr:nvSpPr>
      <xdr:spPr>
        <a:xfrm>
          <a:off x="8130329" y="5424322"/>
          <a:ext cx="731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2AAEEFD-3DAC-478A-80F3-E8B953EC85AC}" type="TxLink">
            <a:rPr lang="en-US" sz="1800" b="0" i="1" u="none" strike="noStrike">
              <a:solidFill>
                <a:srgbClr val="02C7B3"/>
              </a:solidFill>
              <a:latin typeface="Aptos Narrow"/>
              <a:ea typeface="+mn-ea"/>
              <a:cs typeface="+mn-cs"/>
            </a:rPr>
            <a:pPr marL="0" indent="0" algn="l"/>
            <a:t>24%</a:t>
          </a:fld>
          <a:endParaRPr lang="ru-RU" sz="1800" b="0" i="1" u="none" strike="noStrike">
            <a:solidFill>
              <a:srgbClr val="02C7B3"/>
            </a:solidFill>
            <a:latin typeface="Aptos Narrow"/>
            <a:ea typeface="+mn-ea"/>
            <a:cs typeface="+mn-cs"/>
          </a:endParaRPr>
        </a:p>
      </xdr:txBody>
    </xdr:sp>
    <xdr:clientData/>
  </xdr:twoCellAnchor>
  <xdr:twoCellAnchor>
    <xdr:from>
      <xdr:col>13</xdr:col>
      <xdr:colOff>223705</xdr:colOff>
      <xdr:row>31</xdr:row>
      <xdr:rowOff>124996</xdr:rowOff>
    </xdr:from>
    <xdr:to>
      <xdr:col>14</xdr:col>
      <xdr:colOff>347023</xdr:colOff>
      <xdr:row>33</xdr:row>
      <xdr:rowOff>35794</xdr:rowOff>
    </xdr:to>
    <xdr:sp macro="" textlink="Processing!C146">
      <xdr:nvSpPr>
        <xdr:cNvPr id="140" name="TextBox 139">
          <a:extLst>
            <a:ext uri="{FF2B5EF4-FFF2-40B4-BE49-F238E27FC236}">
              <a16:creationId xmlns:a16="http://schemas.microsoft.com/office/drawing/2014/main" id="{00000000-0008-0000-0400-00008C000000}"/>
            </a:ext>
          </a:extLst>
        </xdr:cNvPr>
        <xdr:cNvSpPr txBox="1"/>
      </xdr:nvSpPr>
      <xdr:spPr>
        <a:xfrm>
          <a:off x="8130329" y="5759602"/>
          <a:ext cx="731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37FEA5C-8D08-4AA1-A57D-859F735CC77C}" type="TxLink">
            <a:rPr lang="en-US" sz="1800" b="0" i="1" u="none" strike="noStrike">
              <a:solidFill>
                <a:srgbClr val="02C7B3"/>
              </a:solidFill>
              <a:latin typeface="Aptos Narrow"/>
              <a:ea typeface="+mn-ea"/>
              <a:cs typeface="+mn-cs"/>
            </a:rPr>
            <a:pPr marL="0" indent="0" algn="l"/>
            <a:t>76%</a:t>
          </a:fld>
          <a:endParaRPr lang="ru-RU" sz="1800" b="0" i="1" u="none" strike="noStrike">
            <a:solidFill>
              <a:srgbClr val="02C7B3"/>
            </a:solidFill>
            <a:latin typeface="Aptos Narrow"/>
            <a:ea typeface="+mn-ea"/>
            <a:cs typeface="+mn-cs"/>
          </a:endParaRPr>
        </a:p>
      </xdr:txBody>
    </xdr:sp>
    <xdr:clientData/>
  </xdr:twoCellAnchor>
  <xdr:twoCellAnchor editAs="oneCell">
    <xdr:from>
      <xdr:col>4</xdr:col>
      <xdr:colOff>75024</xdr:colOff>
      <xdr:row>12</xdr:row>
      <xdr:rowOff>16631</xdr:rowOff>
    </xdr:from>
    <xdr:to>
      <xdr:col>6</xdr:col>
      <xdr:colOff>209735</xdr:colOff>
      <xdr:row>14</xdr:row>
      <xdr:rowOff>62346</xdr:rowOff>
    </xdr:to>
    <mc:AlternateContent xmlns:mc="http://schemas.openxmlformats.org/markup-compatibility/2006" xmlns:a14="http://schemas.microsoft.com/office/drawing/2010/main">
      <mc:Choice Requires="a14">
        <xdr:graphicFrame macro="">
          <xdr:nvGraphicFramePr>
            <xdr:cNvPr id="56" name="Years (Order_Date) 2">
              <a:extLst>
                <a:ext uri="{FF2B5EF4-FFF2-40B4-BE49-F238E27FC236}">
                  <a16:creationId xmlns:a16="http://schemas.microsoft.com/office/drawing/2014/main" id="{00000000-0008-0000-0400-000038000000}"/>
                </a:ext>
              </a:extLst>
            </xdr:cNvPr>
            <xdr:cNvGraphicFramePr/>
          </xdr:nvGraphicFramePr>
          <xdr:xfrm>
            <a:off x="0" y="0"/>
            <a:ext cx="0" cy="0"/>
          </xdr:xfrm>
          <a:graphic>
            <a:graphicData uri="http://schemas.microsoft.com/office/drawing/2010/slicer">
              <sle:slicer xmlns:sle="http://schemas.microsoft.com/office/drawing/2010/slicer" name="Years (Order_Date) 2"/>
            </a:graphicData>
          </a:graphic>
        </xdr:graphicFrame>
      </mc:Choice>
      <mc:Fallback xmlns="">
        <xdr:sp macro="" textlink="">
          <xdr:nvSpPr>
            <xdr:cNvPr id="0" name=""/>
            <xdr:cNvSpPr>
              <a:spLocks noTextEdit="1"/>
            </xdr:cNvSpPr>
          </xdr:nvSpPr>
          <xdr:spPr>
            <a:xfrm>
              <a:off x="2507831" y="2197769"/>
              <a:ext cx="1351115" cy="409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31494</xdr:colOff>
      <xdr:row>1</xdr:row>
      <xdr:rowOff>135728</xdr:rowOff>
    </xdr:from>
    <xdr:to>
      <xdr:col>8</xdr:col>
      <xdr:colOff>248210</xdr:colOff>
      <xdr:row>4</xdr:row>
      <xdr:rowOff>86792</xdr:rowOff>
    </xdr:to>
    <xdr:sp macro="" textlink="">
      <xdr:nvSpPr>
        <xdr:cNvPr id="132" name="Rectangle 131">
          <a:hlinkClick xmlns:r="http://schemas.openxmlformats.org/officeDocument/2006/relationships" r:id="rId9"/>
          <a:extLst>
            <a:ext uri="{FF2B5EF4-FFF2-40B4-BE49-F238E27FC236}">
              <a16:creationId xmlns:a16="http://schemas.microsoft.com/office/drawing/2014/main" id="{23950892-BA5B-43AC-9C4E-861951BB93DE}"/>
            </a:ext>
          </a:extLst>
        </xdr:cNvPr>
        <xdr:cNvSpPr/>
      </xdr:nvSpPr>
      <xdr:spPr>
        <a:xfrm>
          <a:off x="3680705" y="317489"/>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353071</xdr:colOff>
      <xdr:row>1</xdr:row>
      <xdr:rowOff>135728</xdr:rowOff>
    </xdr:from>
    <xdr:to>
      <xdr:col>10</xdr:col>
      <xdr:colOff>569788</xdr:colOff>
      <xdr:row>4</xdr:row>
      <xdr:rowOff>86792</xdr:rowOff>
    </xdr:to>
    <xdr:sp macro="" textlink="">
      <xdr:nvSpPr>
        <xdr:cNvPr id="136" name="Rectangle 135">
          <a:hlinkClick xmlns:r="http://schemas.openxmlformats.org/officeDocument/2006/relationships" r:id="rId10"/>
          <a:extLst>
            <a:ext uri="{FF2B5EF4-FFF2-40B4-BE49-F238E27FC236}">
              <a16:creationId xmlns:a16="http://schemas.microsoft.com/office/drawing/2014/main" id="{A700F4D5-4382-456C-91C8-80FF16F5713B}"/>
            </a:ext>
          </a:extLst>
        </xdr:cNvPr>
        <xdr:cNvSpPr/>
      </xdr:nvSpPr>
      <xdr:spPr>
        <a:xfrm>
          <a:off x="5218686" y="317489"/>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24503</xdr:colOff>
      <xdr:row>1</xdr:row>
      <xdr:rowOff>135728</xdr:rowOff>
    </xdr:from>
    <xdr:to>
      <xdr:col>13</xdr:col>
      <xdr:colOff>241219</xdr:colOff>
      <xdr:row>4</xdr:row>
      <xdr:rowOff>86792</xdr:rowOff>
    </xdr:to>
    <xdr:sp macro="" textlink="">
      <xdr:nvSpPr>
        <xdr:cNvPr id="141" name="Rectangle 140">
          <a:hlinkClick xmlns:r="http://schemas.openxmlformats.org/officeDocument/2006/relationships" r:id="rId11"/>
          <a:extLst>
            <a:ext uri="{FF2B5EF4-FFF2-40B4-BE49-F238E27FC236}">
              <a16:creationId xmlns:a16="http://schemas.microsoft.com/office/drawing/2014/main" id="{1FDF030B-0797-47E8-8092-DE08C6479F57}"/>
            </a:ext>
          </a:extLst>
        </xdr:cNvPr>
        <xdr:cNvSpPr/>
      </xdr:nvSpPr>
      <xdr:spPr>
        <a:xfrm>
          <a:off x="6714723" y="317489"/>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318117</xdr:colOff>
      <xdr:row>1</xdr:row>
      <xdr:rowOff>135728</xdr:rowOff>
    </xdr:from>
    <xdr:to>
      <xdr:col>15</xdr:col>
      <xdr:colOff>534833</xdr:colOff>
      <xdr:row>4</xdr:row>
      <xdr:rowOff>86792</xdr:rowOff>
    </xdr:to>
    <xdr:sp macro="" textlink="">
      <xdr:nvSpPr>
        <xdr:cNvPr id="142" name="Rectangle 141">
          <a:hlinkClick xmlns:r="http://schemas.openxmlformats.org/officeDocument/2006/relationships" r:id="rId12"/>
          <a:extLst>
            <a:ext uri="{FF2B5EF4-FFF2-40B4-BE49-F238E27FC236}">
              <a16:creationId xmlns:a16="http://schemas.microsoft.com/office/drawing/2014/main" id="{8965087F-FB57-488B-99C6-0B89AD7CC78E}"/>
            </a:ext>
          </a:extLst>
        </xdr:cNvPr>
        <xdr:cNvSpPr/>
      </xdr:nvSpPr>
      <xdr:spPr>
        <a:xfrm>
          <a:off x="8224741" y="317489"/>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604740</xdr:colOff>
      <xdr:row>1</xdr:row>
      <xdr:rowOff>135728</xdr:rowOff>
    </xdr:from>
    <xdr:to>
      <xdr:col>18</xdr:col>
      <xdr:colOff>213255</xdr:colOff>
      <xdr:row>4</xdr:row>
      <xdr:rowOff>86792</xdr:rowOff>
    </xdr:to>
    <xdr:sp macro="" textlink="">
      <xdr:nvSpPr>
        <xdr:cNvPr id="143" name="Rectangle 142">
          <a:hlinkClick xmlns:r="http://schemas.openxmlformats.org/officeDocument/2006/relationships" r:id="rId13"/>
          <a:extLst>
            <a:ext uri="{FF2B5EF4-FFF2-40B4-BE49-F238E27FC236}">
              <a16:creationId xmlns:a16="http://schemas.microsoft.com/office/drawing/2014/main" id="{6D290DA6-50DD-440F-B95D-70DF374A6CE0}"/>
            </a:ext>
          </a:extLst>
        </xdr:cNvPr>
        <xdr:cNvSpPr/>
      </xdr:nvSpPr>
      <xdr:spPr>
        <a:xfrm>
          <a:off x="9727768" y="317489"/>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91440</xdr:colOff>
      <xdr:row>1</xdr:row>
      <xdr:rowOff>91440</xdr:rowOff>
    </xdr:from>
    <xdr:to>
      <xdr:col>23</xdr:col>
      <xdr:colOff>53340</xdr:colOff>
      <xdr:row>4</xdr:row>
      <xdr:rowOff>76200</xdr:rowOff>
    </xdr:to>
    <xdr:sp macro="" textlink="">
      <xdr:nvSpPr>
        <xdr:cNvPr id="2" name="Rectangle: Rounded Corners 1">
          <a:extLst>
            <a:ext uri="{FF2B5EF4-FFF2-40B4-BE49-F238E27FC236}">
              <a16:creationId xmlns:a16="http://schemas.microsoft.com/office/drawing/2014/main" id="{00000000-0008-0000-0500-000002000000}"/>
            </a:ext>
          </a:extLst>
        </xdr:cNvPr>
        <xdr:cNvSpPr/>
      </xdr:nvSpPr>
      <xdr:spPr>
        <a:xfrm>
          <a:off x="1135380" y="91440"/>
          <a:ext cx="20574000" cy="533400"/>
        </a:xfrm>
        <a:prstGeom prst="roundRect">
          <a:avLst>
            <a:gd name="adj" fmla="val 8621"/>
          </a:avLst>
        </a:prstGeom>
        <a:solidFill>
          <a:srgbClr val="113456"/>
        </a:solidFill>
        <a:ln>
          <a:noFill/>
        </a:ln>
        <a:effectLst>
          <a:outerShdw blurRad="50800" dist="2159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aseline="0">
              <a:solidFill>
                <a:schemeClr val="bg1"/>
              </a:solidFill>
              <a:latin typeface="Roboto Light" panose="02000000000000000000" pitchFamily="2" charset="0"/>
              <a:ea typeface="Roboto Light" panose="02000000000000000000" pitchFamily="2" charset="0"/>
              <a:cs typeface="Roboto Light" panose="02000000000000000000" pitchFamily="2" charset="0"/>
            </a:rPr>
            <a:t>Source Data</a:t>
          </a:r>
          <a:endParaRPr lang="ru-RU" sz="2000">
            <a:solidFill>
              <a:schemeClr val="bg1"/>
            </a:solidFill>
            <a:latin typeface="Roboto Light" panose="02000000000000000000" pitchFamily="2" charset="0"/>
            <a:ea typeface="Roboto Light" panose="02000000000000000000" pitchFamily="2" charset="0"/>
            <a:cs typeface="Roboto Light" panose="02000000000000000000" pitchFamily="2" charset="0"/>
          </a:endParaRPr>
        </a:p>
      </xdr:txBody>
    </xdr:sp>
    <xdr:clientData/>
  </xdr:twoCellAnchor>
  <xdr:twoCellAnchor>
    <xdr:from>
      <xdr:col>1</xdr:col>
      <xdr:colOff>0</xdr:colOff>
      <xdr:row>1</xdr:row>
      <xdr:rowOff>0</xdr:rowOff>
    </xdr:from>
    <xdr:to>
      <xdr:col>2</xdr:col>
      <xdr:colOff>7620</xdr:colOff>
      <xdr:row>4</xdr:row>
      <xdr:rowOff>63386</xdr:rowOff>
    </xdr:to>
    <xdr:grpSp>
      <xdr:nvGrpSpPr>
        <xdr:cNvPr id="3" name="Graphic 4">
          <a:hlinkClick xmlns:r="http://schemas.openxmlformats.org/officeDocument/2006/relationships" r:id="rId1"/>
          <a:extLst>
            <a:ext uri="{FF2B5EF4-FFF2-40B4-BE49-F238E27FC236}">
              <a16:creationId xmlns:a16="http://schemas.microsoft.com/office/drawing/2014/main" id="{00000000-0008-0000-0500-000003000000}"/>
            </a:ext>
          </a:extLst>
        </xdr:cNvPr>
        <xdr:cNvGrpSpPr/>
      </xdr:nvGrpSpPr>
      <xdr:grpSpPr>
        <a:xfrm flipH="1">
          <a:off x="304800" y="182880"/>
          <a:ext cx="746760" cy="612026"/>
          <a:chOff x="12988652" y="613473"/>
          <a:chExt cx="758543" cy="613199"/>
        </a:xfrm>
        <a:solidFill>
          <a:schemeClr val="bg1"/>
        </a:solidFill>
        <a:effectLst>
          <a:glow rad="63500">
            <a:schemeClr val="accent1">
              <a:satMod val="175000"/>
              <a:alpha val="40000"/>
            </a:schemeClr>
          </a:glow>
        </a:effectLst>
      </xdr:grpSpPr>
      <xdr:sp macro="" textlink="">
        <xdr:nvSpPr>
          <xdr:cNvPr id="4" name="Freeform: Shape 3">
            <a:extLst>
              <a:ext uri="{FF2B5EF4-FFF2-40B4-BE49-F238E27FC236}">
                <a16:creationId xmlns:a16="http://schemas.microsoft.com/office/drawing/2014/main" id="{00000000-0008-0000-0500-000004000000}"/>
              </a:ext>
            </a:extLst>
          </xdr:cNvPr>
          <xdr:cNvSpPr/>
        </xdr:nvSpPr>
        <xdr:spPr>
          <a:xfrm>
            <a:off x="13078748" y="710706"/>
            <a:ext cx="668447" cy="515967"/>
          </a:xfrm>
          <a:custGeom>
            <a:avLst/>
            <a:gdLst>
              <a:gd name="connsiteX0" fmla="*/ 675 w 668447"/>
              <a:gd name="connsiteY0" fmla="*/ 260893 h 515967"/>
              <a:gd name="connsiteX1" fmla="*/ 675 w 668447"/>
              <a:gd name="connsiteY1" fmla="*/ 439258 h 515967"/>
              <a:gd name="connsiteX2" fmla="*/ 77767 w 668447"/>
              <a:gd name="connsiteY2" fmla="*/ 515789 h 515967"/>
              <a:gd name="connsiteX3" fmla="*/ 597360 w 668447"/>
              <a:gd name="connsiteY3" fmla="*/ 515789 h 515967"/>
              <a:gd name="connsiteX4" fmla="*/ 668462 w 668447"/>
              <a:gd name="connsiteY4" fmla="*/ 437761 h 515967"/>
              <a:gd name="connsiteX5" fmla="*/ 668462 w 668447"/>
              <a:gd name="connsiteY5" fmla="*/ 76731 h 515967"/>
              <a:gd name="connsiteX6" fmla="*/ 609478 w 668447"/>
              <a:gd name="connsiteY6" fmla="*/ 6 h 515967"/>
              <a:gd name="connsiteX7" fmla="*/ 356687 w 668447"/>
              <a:gd name="connsiteY7" fmla="*/ 6 h 515967"/>
              <a:gd name="connsiteX8" fmla="*/ 442004 w 668447"/>
              <a:gd name="connsiteY8" fmla="*/ 82327 h 515967"/>
              <a:gd name="connsiteX9" fmla="*/ 582651 w 668447"/>
              <a:gd name="connsiteY9" fmla="*/ 82327 h 515967"/>
              <a:gd name="connsiteX10" fmla="*/ 582651 w 668447"/>
              <a:gd name="connsiteY10" fmla="*/ 431196 h 515967"/>
              <a:gd name="connsiteX11" fmla="*/ 84049 w 668447"/>
              <a:gd name="connsiteY11" fmla="*/ 431196 h 515967"/>
              <a:gd name="connsiteX12" fmla="*/ 84049 w 668447"/>
              <a:gd name="connsiteY12" fmla="*/ 328303 h 5159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668447" h="515967">
                <a:moveTo>
                  <a:pt x="675" y="260893"/>
                </a:moveTo>
                <a:lnTo>
                  <a:pt x="675" y="439258"/>
                </a:lnTo>
                <a:cubicBezTo>
                  <a:pt x="-5296" y="502439"/>
                  <a:pt x="44978" y="517896"/>
                  <a:pt x="77767" y="515789"/>
                </a:cubicBezTo>
                <a:lnTo>
                  <a:pt x="597360" y="515789"/>
                </a:lnTo>
                <a:cubicBezTo>
                  <a:pt x="658001" y="511838"/>
                  <a:pt x="668462" y="475781"/>
                  <a:pt x="668462" y="437761"/>
                </a:cubicBezTo>
                <a:lnTo>
                  <a:pt x="668462" y="76731"/>
                </a:lnTo>
                <a:cubicBezTo>
                  <a:pt x="671308" y="26516"/>
                  <a:pt x="638485" y="2112"/>
                  <a:pt x="609478" y="6"/>
                </a:cubicBezTo>
                <a:lnTo>
                  <a:pt x="356687" y="6"/>
                </a:lnTo>
                <a:lnTo>
                  <a:pt x="442004" y="82327"/>
                </a:lnTo>
                <a:lnTo>
                  <a:pt x="582651" y="82327"/>
                </a:lnTo>
                <a:lnTo>
                  <a:pt x="582651" y="431196"/>
                </a:lnTo>
                <a:lnTo>
                  <a:pt x="84049" y="431196"/>
                </a:lnTo>
                <a:lnTo>
                  <a:pt x="84049" y="328303"/>
                </a:lnTo>
                <a:close/>
              </a:path>
            </a:pathLst>
          </a:custGeom>
          <a:grpFill/>
          <a:ln w="14865" cap="flat">
            <a:solidFill>
              <a:srgbClr val="206DF5"/>
            </a:solidFill>
            <a:prstDash val="solid"/>
            <a:miter/>
          </a:ln>
        </xdr:spPr>
        <xdr:txBody>
          <a:bodyPr rtlCol="0" anchor="ctr"/>
          <a:lstStyle/>
          <a:p>
            <a:endParaRPr lang="ru-RU"/>
          </a:p>
        </xdr:txBody>
      </xdr:sp>
      <xdr:sp macro="" textlink="">
        <xdr:nvSpPr>
          <xdr:cNvPr id="5" name="Freeform: Shape 4">
            <a:extLst>
              <a:ext uri="{FF2B5EF4-FFF2-40B4-BE49-F238E27FC236}">
                <a16:creationId xmlns:a16="http://schemas.microsoft.com/office/drawing/2014/main" id="{00000000-0008-0000-0500-000005000000}"/>
              </a:ext>
            </a:extLst>
          </xdr:cNvPr>
          <xdr:cNvSpPr/>
        </xdr:nvSpPr>
        <xdr:spPr>
          <a:xfrm>
            <a:off x="12988652" y="613473"/>
            <a:ext cx="570884" cy="421316"/>
          </a:xfrm>
          <a:custGeom>
            <a:avLst/>
            <a:gdLst>
              <a:gd name="connsiteX0" fmla="*/ 229737 w 570884"/>
              <a:gd name="connsiteY0" fmla="*/ -65 h 421316"/>
              <a:gd name="connsiteX1" fmla="*/ 119 w 570884"/>
              <a:gd name="connsiteY1" fmla="*/ 187421 h 421316"/>
              <a:gd name="connsiteX2" fmla="*/ 231844 w 570884"/>
              <a:gd name="connsiteY2" fmla="*/ 379120 h 421316"/>
              <a:gd name="connsiteX3" fmla="*/ 231844 w 570884"/>
              <a:gd name="connsiteY3" fmla="*/ 284324 h 421316"/>
              <a:gd name="connsiteX4" fmla="*/ 571004 w 570884"/>
              <a:gd name="connsiteY4" fmla="*/ 421252 h 421316"/>
              <a:gd name="connsiteX5" fmla="*/ 231844 w 570884"/>
              <a:gd name="connsiteY5" fmla="*/ 94731 h 4213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570884" h="421316">
                <a:moveTo>
                  <a:pt x="229737" y="-65"/>
                </a:moveTo>
                <a:lnTo>
                  <a:pt x="119" y="187421"/>
                </a:lnTo>
                <a:lnTo>
                  <a:pt x="231844" y="379120"/>
                </a:lnTo>
                <a:lnTo>
                  <a:pt x="231844" y="284324"/>
                </a:lnTo>
                <a:cubicBezTo>
                  <a:pt x="348285" y="257264"/>
                  <a:pt x="485223" y="337279"/>
                  <a:pt x="571004" y="421252"/>
                </a:cubicBezTo>
                <a:cubicBezTo>
                  <a:pt x="527699" y="285344"/>
                  <a:pt x="496117" y="132256"/>
                  <a:pt x="231844" y="94731"/>
                </a:cubicBezTo>
                <a:close/>
              </a:path>
            </a:pathLst>
          </a:custGeom>
          <a:grpFill/>
          <a:ln w="14865" cap="flat">
            <a:solidFill>
              <a:srgbClr val="206DF5"/>
            </a:solidFill>
            <a:prstDash val="solid"/>
            <a:miter/>
          </a:ln>
        </xdr:spPr>
        <xdr:txBody>
          <a:bodyPr rtlCol="0" anchor="ctr"/>
          <a:lstStyle/>
          <a:p>
            <a:endParaRPr lang="ru-RU"/>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0</xdr:colOff>
      <xdr:row>37</xdr:row>
      <xdr:rowOff>91440</xdr:rowOff>
    </xdr:to>
    <xdr:sp macro="" textlink="">
      <xdr:nvSpPr>
        <xdr:cNvPr id="2" name="Rectangle 1">
          <a:extLst>
            <a:ext uri="{FF2B5EF4-FFF2-40B4-BE49-F238E27FC236}">
              <a16:creationId xmlns:a16="http://schemas.microsoft.com/office/drawing/2014/main" id="{00000000-0008-0000-0600-000002000000}"/>
            </a:ext>
          </a:extLst>
        </xdr:cNvPr>
        <xdr:cNvSpPr/>
      </xdr:nvSpPr>
      <xdr:spPr>
        <a:xfrm>
          <a:off x="0" y="0"/>
          <a:ext cx="12192000" cy="6858000"/>
        </a:xfrm>
        <a:prstGeom prst="rect">
          <a:avLst/>
        </a:prstGeom>
        <a:solidFill>
          <a:srgbClr val="04040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0</xdr:col>
      <xdr:colOff>0</xdr:colOff>
      <xdr:row>0</xdr:row>
      <xdr:rowOff>0</xdr:rowOff>
    </xdr:from>
    <xdr:to>
      <xdr:col>23</xdr:col>
      <xdr:colOff>304800</xdr:colOff>
      <xdr:row>40</xdr:row>
      <xdr:rowOff>21365</xdr:rowOff>
    </xdr:to>
    <xdr:sp macro="" textlink="">
      <xdr:nvSpPr>
        <xdr:cNvPr id="3" name="Rectangle 2">
          <a:extLst>
            <a:ext uri="{FF2B5EF4-FFF2-40B4-BE49-F238E27FC236}">
              <a16:creationId xmlns:a16="http://schemas.microsoft.com/office/drawing/2014/main" id="{00000000-0008-0000-0600-000003000000}"/>
            </a:ext>
          </a:extLst>
        </xdr:cNvPr>
        <xdr:cNvSpPr/>
      </xdr:nvSpPr>
      <xdr:spPr>
        <a:xfrm>
          <a:off x="0" y="0"/>
          <a:ext cx="14325600" cy="7336565"/>
        </a:xfrm>
        <a:prstGeom prst="rect">
          <a:avLst/>
        </a:prstGeom>
        <a:gradFill flip="none" rotWithShape="1">
          <a:gsLst>
            <a:gs pos="5000">
              <a:srgbClr val="5B208C"/>
            </a:gs>
            <a:gs pos="38000">
              <a:srgbClr val="04040F"/>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122105</xdr:colOff>
      <xdr:row>1</xdr:row>
      <xdr:rowOff>53793</xdr:rowOff>
    </xdr:from>
    <xdr:to>
      <xdr:col>21</xdr:col>
      <xdr:colOff>235010</xdr:colOff>
      <xdr:row>36</xdr:row>
      <xdr:rowOff>111853</xdr:rowOff>
    </xdr:to>
    <xdr:sp macro="" textlink="">
      <xdr:nvSpPr>
        <xdr:cNvPr id="4" name="Rectangle: Rounded Corners 3">
          <a:extLst>
            <a:ext uri="{FF2B5EF4-FFF2-40B4-BE49-F238E27FC236}">
              <a16:creationId xmlns:a16="http://schemas.microsoft.com/office/drawing/2014/main" id="{00000000-0008-0000-0600-000004000000}"/>
            </a:ext>
          </a:extLst>
        </xdr:cNvPr>
        <xdr:cNvSpPr/>
      </xdr:nvSpPr>
      <xdr:spPr>
        <a:xfrm>
          <a:off x="122105" y="236673"/>
          <a:ext cx="12914505" cy="6458860"/>
        </a:xfrm>
        <a:prstGeom prst="roundRect">
          <a:avLst>
            <a:gd name="adj" fmla="val 5451"/>
          </a:avLst>
        </a:prstGeom>
        <a:gradFill flip="none" rotWithShape="1">
          <a:gsLst>
            <a:gs pos="0">
              <a:srgbClr val="1F0B2F"/>
            </a:gs>
            <a:gs pos="95000">
              <a:srgbClr val="171723"/>
            </a:gs>
          </a:gsLst>
          <a:lin ang="2700000" scaled="0"/>
          <a:tileRect/>
        </a:gradFill>
        <a:ln w="12700">
          <a:gradFill>
            <a:gsLst>
              <a:gs pos="0">
                <a:schemeClr val="bg1"/>
              </a:gs>
              <a:gs pos="74000">
                <a:srgbClr val="AB48D6"/>
              </a:gs>
              <a:gs pos="43000">
                <a:srgbClr val="9D4EDD"/>
              </a:gs>
            </a:gsLst>
            <a:lin ang="2700000" scaled="0"/>
          </a:gradFill>
        </a:ln>
        <a:effectLst>
          <a:outerShdw blurRad="508000" dist="190500" dir="16200000" algn="br" rotWithShape="0">
            <a:srgbClr val="AB48D6">
              <a:alpha val="7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150338</xdr:colOff>
      <xdr:row>1</xdr:row>
      <xdr:rowOff>71692</xdr:rowOff>
    </xdr:from>
    <xdr:to>
      <xdr:col>21</xdr:col>
      <xdr:colOff>220766</xdr:colOff>
      <xdr:row>5</xdr:row>
      <xdr:rowOff>41563</xdr:rowOff>
    </xdr:to>
    <xdr:sp macro="" textlink="">
      <xdr:nvSpPr>
        <xdr:cNvPr id="5" name="Freeform: Shape 4">
          <a:extLst>
            <a:ext uri="{FF2B5EF4-FFF2-40B4-BE49-F238E27FC236}">
              <a16:creationId xmlns:a16="http://schemas.microsoft.com/office/drawing/2014/main" id="{00000000-0008-0000-0600-000005000000}"/>
            </a:ext>
          </a:extLst>
        </xdr:cNvPr>
        <xdr:cNvSpPr/>
      </xdr:nvSpPr>
      <xdr:spPr>
        <a:xfrm>
          <a:off x="150338" y="254572"/>
          <a:ext cx="12872028" cy="701391"/>
        </a:xfrm>
        <a:custGeom>
          <a:avLst/>
          <a:gdLst>
            <a:gd name="csX0" fmla="*/ 346723 w 11376660"/>
            <a:gd name="csY0" fmla="*/ 0 h 685800"/>
            <a:gd name="csX1" fmla="*/ 11029937 w 11376660"/>
            <a:gd name="csY1" fmla="*/ 0 h 685800"/>
            <a:gd name="csX2" fmla="*/ 11376660 w 11376660"/>
            <a:gd name="csY2" fmla="*/ 346723 h 685800"/>
            <a:gd name="csX3" fmla="*/ 11376660 w 11376660"/>
            <a:gd name="csY3" fmla="*/ 685800 h 685800"/>
            <a:gd name="csX4" fmla="*/ 0 w 11376660"/>
            <a:gd name="csY4" fmla="*/ 685800 h 685800"/>
            <a:gd name="csX5" fmla="*/ 0 w 11376660"/>
            <a:gd name="csY5" fmla="*/ 346723 h 685800"/>
            <a:gd name="csX6" fmla="*/ 346723 w 11376660"/>
            <a:gd name="csY6" fmla="*/ 0 h 68580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376660" h="685800">
              <a:moveTo>
                <a:pt x="346723" y="0"/>
              </a:moveTo>
              <a:lnTo>
                <a:pt x="11029937" y="0"/>
              </a:lnTo>
              <a:cubicBezTo>
                <a:pt x="11221427" y="0"/>
                <a:pt x="11376660" y="155233"/>
                <a:pt x="11376660" y="346723"/>
              </a:cubicBezTo>
              <a:lnTo>
                <a:pt x="11376660" y="685800"/>
              </a:lnTo>
              <a:lnTo>
                <a:pt x="0" y="685800"/>
              </a:lnTo>
              <a:lnTo>
                <a:pt x="0" y="346723"/>
              </a:lnTo>
              <a:cubicBezTo>
                <a:pt x="0" y="155233"/>
                <a:pt x="155233" y="0"/>
                <a:pt x="346723" y="0"/>
              </a:cubicBezTo>
              <a:close/>
            </a:path>
          </a:pathLst>
        </a:custGeom>
        <a:gradFill flip="none" rotWithShape="1">
          <a:gsLst>
            <a:gs pos="0">
              <a:srgbClr val="212743"/>
            </a:gs>
            <a:gs pos="100000">
              <a:srgbClr val="202644"/>
            </a:gs>
          </a:gsLst>
          <a:lin ang="54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55696</xdr:colOff>
      <xdr:row>2</xdr:row>
      <xdr:rowOff>23539</xdr:rowOff>
    </xdr:from>
    <xdr:to>
      <xdr:col>8</xdr:col>
      <xdr:colOff>208096</xdr:colOff>
      <xdr:row>4</xdr:row>
      <xdr:rowOff>35255</xdr:rowOff>
    </xdr:to>
    <xdr:sp macro="" textlink="">
      <xdr:nvSpPr>
        <xdr:cNvPr id="6" name="Rectangle: Rounded Corners 5">
          <a:extLst>
            <a:ext uri="{FF2B5EF4-FFF2-40B4-BE49-F238E27FC236}">
              <a16:creationId xmlns:a16="http://schemas.microsoft.com/office/drawing/2014/main" id="{00000000-0008-0000-0600-000006000000}"/>
            </a:ext>
          </a:extLst>
        </xdr:cNvPr>
        <xdr:cNvSpPr/>
      </xdr:nvSpPr>
      <xdr:spPr>
        <a:xfrm>
          <a:off x="3713296"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Dashboard</a:t>
          </a:r>
          <a:endParaRPr lang="ru-RU" sz="1100" b="0" kern="1200">
            <a:solidFill>
              <a:schemeClr val="accent1">
                <a:lumMod val="20000"/>
                <a:lumOff val="80000"/>
              </a:schemeClr>
            </a:solidFill>
            <a:effectLst/>
            <a:latin typeface="+mn-lt"/>
            <a:ea typeface="+mn-ea"/>
            <a:cs typeface="+mn-cs"/>
          </a:endParaRPr>
        </a:p>
      </xdr:txBody>
    </xdr:sp>
    <xdr:clientData/>
  </xdr:twoCellAnchor>
  <xdr:twoCellAnchor>
    <xdr:from>
      <xdr:col>11</xdr:col>
      <xdr:colOff>36128</xdr:colOff>
      <xdr:row>2</xdr:row>
      <xdr:rowOff>23539</xdr:rowOff>
    </xdr:from>
    <xdr:to>
      <xdr:col>13</xdr:col>
      <xdr:colOff>188528</xdr:colOff>
      <xdr:row>4</xdr:row>
      <xdr:rowOff>35255</xdr:rowOff>
    </xdr:to>
    <xdr:sp macro="" textlink="">
      <xdr:nvSpPr>
        <xdr:cNvPr id="7" name="Rectangle: Rounded Corners 6">
          <a:extLst>
            <a:ext uri="{FF2B5EF4-FFF2-40B4-BE49-F238E27FC236}">
              <a16:creationId xmlns:a16="http://schemas.microsoft.com/office/drawing/2014/main" id="{00000000-0008-0000-0600-000007000000}"/>
            </a:ext>
          </a:extLst>
        </xdr:cNvPr>
        <xdr:cNvSpPr/>
      </xdr:nvSpPr>
      <xdr:spPr>
        <a:xfrm>
          <a:off x="6741728"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Operations</a:t>
          </a:r>
          <a:endParaRPr lang="ru-RU" sz="1100" b="0" kern="1200">
            <a:solidFill>
              <a:schemeClr val="accent1">
                <a:lumMod val="20000"/>
                <a:lumOff val="80000"/>
              </a:schemeClr>
            </a:solidFill>
            <a:effectLst/>
            <a:latin typeface="+mn-lt"/>
            <a:ea typeface="+mn-ea"/>
            <a:cs typeface="+mn-cs"/>
          </a:endParaRPr>
        </a:p>
      </xdr:txBody>
    </xdr:sp>
    <xdr:clientData/>
  </xdr:twoCellAnchor>
  <xdr:twoCellAnchor>
    <xdr:from>
      <xdr:col>8</xdr:col>
      <xdr:colOff>350712</xdr:colOff>
      <xdr:row>2</xdr:row>
      <xdr:rowOff>23539</xdr:rowOff>
    </xdr:from>
    <xdr:to>
      <xdr:col>10</xdr:col>
      <xdr:colOff>503112</xdr:colOff>
      <xdr:row>4</xdr:row>
      <xdr:rowOff>35255</xdr:rowOff>
    </xdr:to>
    <xdr:sp macro="" textlink="">
      <xdr:nvSpPr>
        <xdr:cNvPr id="8" name="Rectangle: Rounded Corners 7">
          <a:extLst>
            <a:ext uri="{FF2B5EF4-FFF2-40B4-BE49-F238E27FC236}">
              <a16:creationId xmlns:a16="http://schemas.microsoft.com/office/drawing/2014/main" id="{00000000-0008-0000-0600-000008000000}"/>
            </a:ext>
          </a:extLst>
        </xdr:cNvPr>
        <xdr:cNvSpPr/>
      </xdr:nvSpPr>
      <xdr:spPr>
        <a:xfrm>
          <a:off x="5227512"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Profitability </a:t>
          </a:r>
          <a:endParaRPr lang="ru-RU" sz="1100" b="0" kern="1200">
            <a:solidFill>
              <a:schemeClr val="accent1">
                <a:lumMod val="20000"/>
                <a:lumOff val="80000"/>
              </a:schemeClr>
            </a:solidFill>
            <a:effectLst/>
            <a:latin typeface="+mn-lt"/>
            <a:ea typeface="+mn-ea"/>
            <a:cs typeface="+mn-cs"/>
          </a:endParaRPr>
        </a:p>
      </xdr:txBody>
    </xdr:sp>
    <xdr:clientData/>
  </xdr:twoCellAnchor>
  <xdr:twoCellAnchor>
    <xdr:from>
      <xdr:col>13</xdr:col>
      <xdr:colOff>331144</xdr:colOff>
      <xdr:row>2</xdr:row>
      <xdr:rowOff>23539</xdr:rowOff>
    </xdr:from>
    <xdr:to>
      <xdr:col>15</xdr:col>
      <xdr:colOff>483544</xdr:colOff>
      <xdr:row>4</xdr:row>
      <xdr:rowOff>35255</xdr:rowOff>
    </xdr:to>
    <xdr:sp macro="" textlink="">
      <xdr:nvSpPr>
        <xdr:cNvPr id="9" name="Rectangle: Rounded Corners 8">
          <a:extLst>
            <a:ext uri="{FF2B5EF4-FFF2-40B4-BE49-F238E27FC236}">
              <a16:creationId xmlns:a16="http://schemas.microsoft.com/office/drawing/2014/main" id="{00000000-0008-0000-0600-000009000000}"/>
            </a:ext>
          </a:extLst>
        </xdr:cNvPr>
        <xdr:cNvSpPr/>
      </xdr:nvSpPr>
      <xdr:spPr>
        <a:xfrm>
          <a:off x="8255944" y="389299"/>
          <a:ext cx="1371600" cy="377476"/>
        </a:xfrm>
        <a:prstGeom prst="roundRect">
          <a:avLst>
            <a:gd name="adj" fmla="val 49653"/>
          </a:avLst>
        </a:prstGeom>
        <a:solidFill>
          <a:srgbClr val="212743"/>
        </a:solidFill>
        <a:ln w="9525">
          <a:solidFill>
            <a:srgbClr val="89A6C9"/>
          </a:solidFill>
        </a:ln>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100" b="0" kern="1200">
              <a:solidFill>
                <a:schemeClr val="accent1">
                  <a:lumMod val="20000"/>
                  <a:lumOff val="80000"/>
                </a:schemeClr>
              </a:solidFill>
              <a:effectLst/>
              <a:latin typeface="+mn-lt"/>
              <a:ea typeface="+mn-ea"/>
              <a:cs typeface="+mn-cs"/>
            </a:rPr>
            <a:t>Dataset</a:t>
          </a:r>
          <a:endParaRPr lang="ru-RU" sz="1050" b="0" kern="1200">
            <a:solidFill>
              <a:schemeClr val="accent1">
                <a:lumMod val="20000"/>
                <a:lumOff val="80000"/>
              </a:schemeClr>
            </a:solidFill>
            <a:latin typeface="+mn-lt"/>
            <a:ea typeface="+mn-ea"/>
            <a:cs typeface="+mn-cs"/>
          </a:endParaRPr>
        </a:p>
      </xdr:txBody>
    </xdr:sp>
    <xdr:clientData/>
  </xdr:twoCellAnchor>
  <xdr:twoCellAnchor>
    <xdr:from>
      <xdr:col>0</xdr:col>
      <xdr:colOff>186584</xdr:colOff>
      <xdr:row>2</xdr:row>
      <xdr:rowOff>45335</xdr:rowOff>
    </xdr:from>
    <xdr:to>
      <xdr:col>5</xdr:col>
      <xdr:colOff>491835</xdr:colOff>
      <xdr:row>4</xdr:row>
      <xdr:rowOff>41170</xdr:rowOff>
    </xdr:to>
    <xdr:sp macro="" textlink="">
      <xdr:nvSpPr>
        <xdr:cNvPr id="10" name="TextBox 158">
          <a:extLst>
            <a:ext uri="{FF2B5EF4-FFF2-40B4-BE49-F238E27FC236}">
              <a16:creationId xmlns:a16="http://schemas.microsoft.com/office/drawing/2014/main" id="{00000000-0008-0000-0600-00000A000000}"/>
            </a:ext>
          </a:extLst>
        </xdr:cNvPr>
        <xdr:cNvSpPr txBox="1"/>
      </xdr:nvSpPr>
      <xdr:spPr>
        <a:xfrm>
          <a:off x="186584" y="411095"/>
          <a:ext cx="3353251" cy="361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l" defTabSz="914400" rtl="0" eaLnBrk="1" latinLnBrk="0" hangingPunct="1"/>
          <a:r>
            <a:rPr lang="en-US" sz="2400" b="1" kern="1200">
              <a:solidFill>
                <a:srgbClr val="BFFAFF"/>
              </a:solidFill>
              <a:latin typeface="Anek Tamil ExtraBold" pitchFamily="2" charset="0"/>
              <a:ea typeface="+mn-ea"/>
              <a:cs typeface="Anek Tamil ExtraBold" pitchFamily="2" charset="0"/>
            </a:rPr>
            <a:t>MarketPulse </a:t>
          </a:r>
          <a:r>
            <a:rPr lang="en-US" sz="2400" b="1" kern="1200">
              <a:solidFill>
                <a:schemeClr val="bg1"/>
              </a:solidFill>
              <a:latin typeface="Anek Tamil ExtraBold" pitchFamily="2" charset="0"/>
              <a:ea typeface="+mn-ea"/>
              <a:cs typeface="Anek Tamil ExtraBold" pitchFamily="2" charset="0"/>
            </a:rPr>
            <a:t>Analytics</a:t>
          </a:r>
        </a:p>
      </xdr:txBody>
    </xdr:sp>
    <xdr:clientData/>
  </xdr:twoCellAnchor>
  <xdr:twoCellAnchor>
    <xdr:from>
      <xdr:col>16</xdr:col>
      <xdr:colOff>16560</xdr:colOff>
      <xdr:row>2</xdr:row>
      <xdr:rowOff>23539</xdr:rowOff>
    </xdr:from>
    <xdr:to>
      <xdr:col>18</xdr:col>
      <xdr:colOff>168960</xdr:colOff>
      <xdr:row>4</xdr:row>
      <xdr:rowOff>35255</xdr:rowOff>
    </xdr:to>
    <xdr:sp macro="" textlink="">
      <xdr:nvSpPr>
        <xdr:cNvPr id="11" name="Rectangle: Rounded Corners 10">
          <a:extLst>
            <a:ext uri="{FF2B5EF4-FFF2-40B4-BE49-F238E27FC236}">
              <a16:creationId xmlns:a16="http://schemas.microsoft.com/office/drawing/2014/main" id="{00000000-0008-0000-0600-00000B000000}"/>
            </a:ext>
          </a:extLst>
        </xdr:cNvPr>
        <xdr:cNvSpPr/>
      </xdr:nvSpPr>
      <xdr:spPr>
        <a:xfrm>
          <a:off x="9770160" y="389299"/>
          <a:ext cx="1371600" cy="377476"/>
        </a:xfrm>
        <a:prstGeom prst="roundRect">
          <a:avLst>
            <a:gd name="adj" fmla="val 49653"/>
          </a:avLst>
        </a:prstGeom>
        <a:solidFill>
          <a:srgbClr val="0000FF">
            <a:alpha val="32000"/>
          </a:srgbClr>
        </a:solidFill>
        <a:ln w="6350">
          <a:solidFill>
            <a:schemeClr val="bg1"/>
          </a:solidFill>
        </a:ln>
        <a:effectLst>
          <a:glow rad="101600">
            <a:srgbClr val="00B0F0">
              <a:alpha val="10000"/>
            </a:srgbClr>
          </a:glow>
          <a:outerShdw blurRad="127000" sx="105000" sy="105000" algn="tl" rotWithShape="0">
            <a:srgbClr val="0000FF">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r>
            <a:rPr lang="en-US" sz="1400" kern="1200">
              <a:solidFill>
                <a:schemeClr val="bg1"/>
              </a:solidFill>
              <a:latin typeface="+mn-lt"/>
              <a:ea typeface="+mn-ea"/>
              <a:cs typeface="+mn-cs"/>
            </a:rPr>
            <a:t>Insights</a:t>
          </a:r>
          <a:endParaRPr lang="ru-RU" sz="1400" kern="1200">
            <a:solidFill>
              <a:schemeClr val="bg1"/>
            </a:solidFill>
            <a:latin typeface="+mn-lt"/>
            <a:ea typeface="+mn-ea"/>
            <a:cs typeface="+mn-cs"/>
          </a:endParaRPr>
        </a:p>
      </xdr:txBody>
    </xdr:sp>
    <xdr:clientData/>
  </xdr:twoCellAnchor>
  <xdr:twoCellAnchor>
    <xdr:from>
      <xdr:col>0</xdr:col>
      <xdr:colOff>250124</xdr:colOff>
      <xdr:row>5</xdr:row>
      <xdr:rowOff>174772</xdr:rowOff>
    </xdr:from>
    <xdr:to>
      <xdr:col>21</xdr:col>
      <xdr:colOff>55926</xdr:colOff>
      <xdr:row>35</xdr:row>
      <xdr:rowOff>118844</xdr:rowOff>
    </xdr:to>
    <xdr:sp macro="" textlink="">
      <xdr:nvSpPr>
        <xdr:cNvPr id="12" name="Rectangle: Rounded Corners 11">
          <a:extLst>
            <a:ext uri="{FF2B5EF4-FFF2-40B4-BE49-F238E27FC236}">
              <a16:creationId xmlns:a16="http://schemas.microsoft.com/office/drawing/2014/main" id="{00000000-0008-0000-0600-00000C000000}"/>
            </a:ext>
          </a:extLst>
        </xdr:cNvPr>
        <xdr:cNvSpPr/>
      </xdr:nvSpPr>
      <xdr:spPr>
        <a:xfrm>
          <a:off x="250124" y="1083579"/>
          <a:ext cx="12578041" cy="5396916"/>
        </a:xfrm>
        <a:prstGeom prst="roundRect">
          <a:avLst>
            <a:gd name="adj" fmla="val 3515"/>
          </a:avLst>
        </a:prstGeom>
        <a:solidFill>
          <a:srgbClr val="1D202F"/>
        </a:solidFill>
        <a:ln w="12700">
          <a:solidFill>
            <a:srgbClr val="30344E"/>
          </a:solidFill>
        </a:ln>
        <a:effectLst>
          <a:outerShdw blurRad="127000" dist="1905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ru-RU" sz="1100" kern="1200">
            <a:solidFill>
              <a:schemeClr val="lt1"/>
            </a:solidFill>
            <a:latin typeface="+mn-lt"/>
            <a:ea typeface="+mn-ea"/>
            <a:cs typeface="+mn-cs"/>
          </a:endParaRPr>
        </a:p>
      </xdr:txBody>
    </xdr:sp>
    <xdr:clientData/>
  </xdr:twoCellAnchor>
  <xdr:twoCellAnchor>
    <xdr:from>
      <xdr:col>0</xdr:col>
      <xdr:colOff>277090</xdr:colOff>
      <xdr:row>4</xdr:row>
      <xdr:rowOff>20782</xdr:rowOff>
    </xdr:from>
    <xdr:to>
      <xdr:col>3</xdr:col>
      <xdr:colOff>200891</xdr:colOff>
      <xdr:row>4</xdr:row>
      <xdr:rowOff>20782</xdr:rowOff>
    </xdr:to>
    <xdr:cxnSp macro="">
      <xdr:nvCxnSpPr>
        <xdr:cNvPr id="13" name="Straight Connector 12">
          <a:extLst>
            <a:ext uri="{FF2B5EF4-FFF2-40B4-BE49-F238E27FC236}">
              <a16:creationId xmlns:a16="http://schemas.microsoft.com/office/drawing/2014/main" id="{00000000-0008-0000-0600-00000D000000}"/>
            </a:ext>
          </a:extLst>
        </xdr:cNvPr>
        <xdr:cNvCxnSpPr/>
      </xdr:nvCxnSpPr>
      <xdr:spPr>
        <a:xfrm flipH="1">
          <a:off x="277090" y="752302"/>
          <a:ext cx="1752601" cy="0"/>
        </a:xfrm>
        <a:prstGeom prst="line">
          <a:avLst/>
        </a:prstGeom>
        <a:ln>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398477</xdr:colOff>
      <xdr:row>6</xdr:row>
      <xdr:rowOff>73899</xdr:rowOff>
    </xdr:from>
    <xdr:to>
      <xdr:col>20</xdr:col>
      <xdr:colOff>426439</xdr:colOff>
      <xdr:row>9</xdr:row>
      <xdr:rowOff>45416</xdr:rowOff>
    </xdr:to>
    <xdr:sp macro="" textlink="">
      <xdr:nvSpPr>
        <xdr:cNvPr id="170" name="Rectangle: Rounded Corners 169">
          <a:extLst>
            <a:ext uri="{FF2B5EF4-FFF2-40B4-BE49-F238E27FC236}">
              <a16:creationId xmlns:a16="http://schemas.microsoft.com/office/drawing/2014/main" id="{00000000-0008-0000-0600-0000AA000000}"/>
            </a:ext>
          </a:extLst>
        </xdr:cNvPr>
        <xdr:cNvSpPr/>
      </xdr:nvSpPr>
      <xdr:spPr>
        <a:xfrm>
          <a:off x="398477" y="1164468"/>
          <a:ext cx="12191999" cy="516801"/>
        </a:xfrm>
        <a:prstGeom prst="roundRect">
          <a:avLst>
            <a:gd name="adj" fmla="val 50000"/>
          </a:avLst>
        </a:prstGeom>
        <a:gradFill flip="none" rotWithShape="1">
          <a:gsLst>
            <a:gs pos="75000">
              <a:srgbClr val="080614"/>
            </a:gs>
            <a:gs pos="0">
              <a:srgbClr val="140C2E"/>
            </a:gs>
          </a:gsLst>
          <a:lin ang="5400000" scaled="0"/>
          <a:tileRect/>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endParaRPr lang="en-US" sz="1200" kern="1200">
            <a:solidFill>
              <a:schemeClr val="bg1"/>
            </a:solidFill>
            <a:latin typeface="Aptos Narrow"/>
            <a:ea typeface="+mn-ea"/>
            <a:cs typeface="+mn-cs"/>
          </a:endParaRPr>
        </a:p>
      </xdr:txBody>
    </xdr:sp>
    <xdr:clientData/>
  </xdr:twoCellAnchor>
  <xdr:twoCellAnchor>
    <xdr:from>
      <xdr:col>3</xdr:col>
      <xdr:colOff>525256</xdr:colOff>
      <xdr:row>6</xdr:row>
      <xdr:rowOff>71791</xdr:rowOff>
    </xdr:from>
    <xdr:to>
      <xdr:col>17</xdr:col>
      <xdr:colOff>299659</xdr:colOff>
      <xdr:row>9</xdr:row>
      <xdr:rowOff>47523</xdr:rowOff>
    </xdr:to>
    <xdr:sp macro="" textlink="">
      <xdr:nvSpPr>
        <xdr:cNvPr id="171" name="TextBox 50">
          <a:extLst>
            <a:ext uri="{FF2B5EF4-FFF2-40B4-BE49-F238E27FC236}">
              <a16:creationId xmlns:a16="http://schemas.microsoft.com/office/drawing/2014/main" id="{00000000-0008-0000-0600-0000AB000000}"/>
            </a:ext>
          </a:extLst>
        </xdr:cNvPr>
        <xdr:cNvSpPr txBox="1"/>
      </xdr:nvSpPr>
      <xdr:spPr>
        <a:xfrm>
          <a:off x="2349862" y="1162360"/>
          <a:ext cx="8289228" cy="521016"/>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2400">
              <a:solidFill>
                <a:schemeClr val="bg1"/>
              </a:solidFill>
              <a:effectLst>
                <a:outerShdw blurRad="50800" dist="38100" dir="2700000" algn="tl" rotWithShape="0">
                  <a:prstClr val="black">
                    <a:alpha val="40000"/>
                  </a:prstClr>
                </a:outerShdw>
              </a:effectLst>
            </a:rPr>
            <a:t>Business Decisions &amp; Recommendations</a:t>
          </a:r>
        </a:p>
      </xdr:txBody>
    </xdr:sp>
    <xdr:clientData/>
  </xdr:twoCellAnchor>
  <xdr:twoCellAnchor>
    <xdr:from>
      <xdr:col>0</xdr:col>
      <xdr:colOff>244477</xdr:colOff>
      <xdr:row>9</xdr:row>
      <xdr:rowOff>72094</xdr:rowOff>
    </xdr:from>
    <xdr:to>
      <xdr:col>4</xdr:col>
      <xdr:colOff>166167</xdr:colOff>
      <xdr:row>11</xdr:row>
      <xdr:rowOff>122957</xdr:rowOff>
    </xdr:to>
    <xdr:sp macro="" textlink="">
      <xdr:nvSpPr>
        <xdr:cNvPr id="177" name="TextBox 50">
          <a:extLst>
            <a:ext uri="{FF2B5EF4-FFF2-40B4-BE49-F238E27FC236}">
              <a16:creationId xmlns:a16="http://schemas.microsoft.com/office/drawing/2014/main" id="{00000000-0008-0000-0600-0000B1000000}"/>
            </a:ext>
          </a:extLst>
        </xdr:cNvPr>
        <xdr:cNvSpPr txBox="1"/>
      </xdr:nvSpPr>
      <xdr:spPr>
        <a:xfrm>
          <a:off x="244477" y="1707947"/>
          <a:ext cx="2354497" cy="414386"/>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800" b="0" kern="1200">
              <a:solidFill>
                <a:schemeClr val="bg1"/>
              </a:solidFill>
              <a:effectLst/>
              <a:latin typeface="+mn-lt"/>
              <a:ea typeface="+mn-ea"/>
              <a:cs typeface="+mn-cs"/>
            </a:rPr>
            <a:t>Key Takeaways:</a:t>
          </a:r>
        </a:p>
      </xdr:txBody>
    </xdr:sp>
    <xdr:clientData/>
  </xdr:twoCellAnchor>
  <xdr:twoCellAnchor>
    <xdr:from>
      <xdr:col>8</xdr:col>
      <xdr:colOff>169666</xdr:colOff>
      <xdr:row>8</xdr:row>
      <xdr:rowOff>173936</xdr:rowOff>
    </xdr:from>
    <xdr:to>
      <xdr:col>13</xdr:col>
      <xdr:colOff>136384</xdr:colOff>
      <xdr:row>11</xdr:row>
      <xdr:rowOff>82139</xdr:rowOff>
    </xdr:to>
    <xdr:sp macro="" textlink="">
      <xdr:nvSpPr>
        <xdr:cNvPr id="178" name="TextBox 50">
          <a:extLst>
            <a:ext uri="{FF2B5EF4-FFF2-40B4-BE49-F238E27FC236}">
              <a16:creationId xmlns:a16="http://schemas.microsoft.com/office/drawing/2014/main" id="{00000000-0008-0000-0600-0000B2000000}"/>
            </a:ext>
          </a:extLst>
        </xdr:cNvPr>
        <xdr:cNvSpPr txBox="1"/>
      </xdr:nvSpPr>
      <xdr:spPr>
        <a:xfrm>
          <a:off x="5035281" y="1628028"/>
          <a:ext cx="3007727" cy="453487"/>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ctr" defTabSz="914400" rtl="0" eaLnBrk="1" latinLnBrk="0" hangingPunct="1"/>
          <a:r>
            <a:rPr lang="en-US" sz="2000" b="0" kern="1200">
              <a:solidFill>
                <a:schemeClr val="bg1"/>
              </a:solidFill>
              <a:effectLst/>
              <a:latin typeface="+mn-lt"/>
              <a:ea typeface="+mn-ea"/>
              <a:cs typeface="+mn-cs"/>
            </a:rPr>
            <a:t>Descriptive Analysis:</a:t>
          </a:r>
        </a:p>
      </xdr:txBody>
    </xdr:sp>
    <xdr:clientData/>
  </xdr:twoCellAnchor>
  <xdr:twoCellAnchor>
    <xdr:from>
      <xdr:col>8</xdr:col>
      <xdr:colOff>496281</xdr:colOff>
      <xdr:row>10</xdr:row>
      <xdr:rowOff>156639</xdr:rowOff>
    </xdr:from>
    <xdr:to>
      <xdr:col>12</xdr:col>
      <xdr:colOff>417971</xdr:colOff>
      <xdr:row>12</xdr:row>
      <xdr:rowOff>74652</xdr:rowOff>
    </xdr:to>
    <xdr:sp macro="" textlink="">
      <xdr:nvSpPr>
        <xdr:cNvPr id="179" name="TextBox 50">
          <a:extLst>
            <a:ext uri="{FF2B5EF4-FFF2-40B4-BE49-F238E27FC236}">
              <a16:creationId xmlns:a16="http://schemas.microsoft.com/office/drawing/2014/main" id="{00000000-0008-0000-0600-0000B3000000}"/>
            </a:ext>
          </a:extLst>
        </xdr:cNvPr>
        <xdr:cNvSpPr txBox="1"/>
      </xdr:nvSpPr>
      <xdr:spPr>
        <a:xfrm>
          <a:off x="5361896" y="1974254"/>
          <a:ext cx="2354497" cy="281536"/>
        </a:xfrm>
        <a:prstGeom prst="rect">
          <a:avLst/>
        </a:prstGeom>
        <a:noFill/>
      </xdr:spPr>
      <xdr:txBody>
        <a:bodyPr wrap="square" rtlCol="0" anchor="ctr">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200" kern="1200">
              <a:solidFill>
                <a:srgbClr val="FFC409"/>
              </a:solidFill>
              <a:effectLst/>
              <a:latin typeface="+mn-lt"/>
              <a:ea typeface="+mn-ea"/>
              <a:cs typeface="+mn-cs"/>
            </a:rPr>
            <a:t>(January 2024 - December 2025)</a:t>
          </a:r>
        </a:p>
      </xdr:txBody>
    </xdr:sp>
    <xdr:clientData/>
  </xdr:twoCellAnchor>
  <xdr:twoCellAnchor>
    <xdr:from>
      <xdr:col>0</xdr:col>
      <xdr:colOff>250877</xdr:colOff>
      <xdr:row>11</xdr:row>
      <xdr:rowOff>10275</xdr:rowOff>
    </xdr:from>
    <xdr:to>
      <xdr:col>7</xdr:col>
      <xdr:colOff>322006</xdr:colOff>
      <xdr:row>12</xdr:row>
      <xdr:rowOff>175303</xdr:rowOff>
    </xdr:to>
    <xdr:sp macro="" textlink="">
      <xdr:nvSpPr>
        <xdr:cNvPr id="180" name="TextBox 50">
          <a:extLst>
            <a:ext uri="{FF2B5EF4-FFF2-40B4-BE49-F238E27FC236}">
              <a16:creationId xmlns:a16="http://schemas.microsoft.com/office/drawing/2014/main" id="{00000000-0008-0000-0600-0000B4000000}"/>
            </a:ext>
          </a:extLst>
        </xdr:cNvPr>
        <xdr:cNvSpPr txBox="1"/>
      </xdr:nvSpPr>
      <xdr:spPr>
        <a:xfrm>
          <a:off x="250877" y="2009651"/>
          <a:ext cx="4328542" cy="34679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Revenue &amp; Profit Performance:</a:t>
          </a:r>
        </a:p>
      </xdr:txBody>
    </xdr:sp>
    <xdr:clientData/>
  </xdr:twoCellAnchor>
  <xdr:twoCellAnchor>
    <xdr:from>
      <xdr:col>0</xdr:col>
      <xdr:colOff>222159</xdr:colOff>
      <xdr:row>12</xdr:row>
      <xdr:rowOff>76018</xdr:rowOff>
    </xdr:from>
    <xdr:to>
      <xdr:col>20</xdr:col>
      <xdr:colOff>391485</xdr:colOff>
      <xdr:row>15</xdr:row>
      <xdr:rowOff>69908</xdr:rowOff>
    </xdr:to>
    <xdr:sp macro="" textlink="">
      <xdr:nvSpPr>
        <xdr:cNvPr id="181" name="TextBox 180">
          <a:extLst>
            <a:ext uri="{FF2B5EF4-FFF2-40B4-BE49-F238E27FC236}">
              <a16:creationId xmlns:a16="http://schemas.microsoft.com/office/drawing/2014/main" id="{00000000-0008-0000-0600-0000B5000000}"/>
            </a:ext>
          </a:extLst>
        </xdr:cNvPr>
        <xdr:cNvSpPr txBox="1"/>
      </xdr:nvSpPr>
      <xdr:spPr>
        <a:xfrm>
          <a:off x="222159" y="2257156"/>
          <a:ext cx="12333363" cy="539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050">
              <a:solidFill>
                <a:schemeClr val="bg1"/>
              </a:solidFill>
            </a:rPr>
            <a:t>The business generated </a:t>
          </a:r>
          <a:r>
            <a:rPr lang="en-US" sz="1050" b="1">
              <a:solidFill>
                <a:schemeClr val="bg1"/>
              </a:solidFill>
            </a:rPr>
            <a:t>$401.7K in total revenue</a:t>
          </a:r>
          <a:r>
            <a:rPr lang="en-US" sz="1050">
              <a:solidFill>
                <a:schemeClr val="bg1"/>
              </a:solidFill>
            </a:rPr>
            <a:t> with an overall </a:t>
          </a:r>
          <a:r>
            <a:rPr lang="en-US" sz="1050" b="1">
              <a:solidFill>
                <a:schemeClr val="bg1"/>
              </a:solidFill>
            </a:rPr>
            <a:t>profit of $144.2K</a:t>
          </a:r>
          <a:r>
            <a:rPr lang="en-US" sz="1050">
              <a:solidFill>
                <a:schemeClr val="bg1"/>
              </a:solidFill>
            </a:rPr>
            <a:t>, resulting in a strong </a:t>
          </a:r>
          <a:r>
            <a:rPr lang="en-US" sz="1050" b="1">
              <a:solidFill>
                <a:schemeClr val="bg1"/>
              </a:solidFill>
            </a:rPr>
            <a:t>36% profit margin</a:t>
          </a:r>
          <a:r>
            <a:rPr lang="en-US" sz="1050">
              <a:solidFill>
                <a:schemeClr val="bg1"/>
              </a:solidFill>
            </a:rPr>
            <a:t>. Total expenses stood at </a:t>
          </a:r>
          <a:r>
            <a:rPr lang="en-US" sz="1050" b="1">
              <a:solidFill>
                <a:schemeClr val="bg1"/>
              </a:solidFill>
            </a:rPr>
            <a:t>$257.5K</a:t>
          </a:r>
          <a:r>
            <a:rPr lang="en-US" sz="1050">
              <a:solidFill>
                <a:schemeClr val="bg1"/>
              </a:solidFill>
            </a:rPr>
            <a:t>, while </a:t>
          </a:r>
          <a:r>
            <a:rPr lang="en-US" sz="1050" b="1">
              <a:solidFill>
                <a:schemeClr val="bg1"/>
              </a:solidFill>
            </a:rPr>
            <a:t>2,103 units</a:t>
          </a:r>
          <a:r>
            <a:rPr lang="en-US" sz="1050">
              <a:solidFill>
                <a:schemeClr val="bg1"/>
              </a:solidFill>
            </a:rPr>
            <a:t> were sold with an average order value of approximately </a:t>
          </a:r>
          <a:r>
            <a:rPr lang="en-US" sz="1050" b="1">
              <a:solidFill>
                <a:schemeClr val="bg1"/>
              </a:solidFill>
            </a:rPr>
            <a:t>$803</a:t>
          </a:r>
          <a:r>
            <a:rPr lang="en-US" sz="1050">
              <a:solidFill>
                <a:schemeClr val="bg1"/>
              </a:solidFill>
            </a:rPr>
            <a:t>, indicating healthy sales performance and strong order value.</a:t>
          </a:r>
          <a:endParaRPr lang="en-US" sz="1000" b="0">
            <a:solidFill>
              <a:schemeClr val="bg1"/>
            </a:solidFill>
            <a:effectLst/>
            <a:latin typeface="+mn-lt"/>
            <a:ea typeface="+mn-ea"/>
            <a:cs typeface="+mn-cs"/>
          </a:endParaRPr>
        </a:p>
      </xdr:txBody>
    </xdr:sp>
    <xdr:clientData/>
  </xdr:twoCellAnchor>
  <xdr:twoCellAnchor>
    <xdr:from>
      <xdr:col>0</xdr:col>
      <xdr:colOff>351370</xdr:colOff>
      <xdr:row>14</xdr:row>
      <xdr:rowOff>160924</xdr:rowOff>
    </xdr:from>
    <xdr:to>
      <xdr:col>20</xdr:col>
      <xdr:colOff>531733</xdr:colOff>
      <xdr:row>14</xdr:row>
      <xdr:rowOff>160924</xdr:rowOff>
    </xdr:to>
    <xdr:cxnSp macro="">
      <xdr:nvCxnSpPr>
        <xdr:cNvPr id="182" name="Straight Connector 181">
          <a:extLst>
            <a:ext uri="{FF2B5EF4-FFF2-40B4-BE49-F238E27FC236}">
              <a16:creationId xmlns:a16="http://schemas.microsoft.com/office/drawing/2014/main" id="{00000000-0008-0000-0600-0000B6000000}"/>
            </a:ext>
          </a:extLst>
        </xdr:cNvPr>
        <xdr:cNvCxnSpPr/>
      </xdr:nvCxnSpPr>
      <xdr:spPr>
        <a:xfrm>
          <a:off x="351370" y="2705585"/>
          <a:ext cx="12344400"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250877</xdr:colOff>
      <xdr:row>14</xdr:row>
      <xdr:rowOff>127354</xdr:rowOff>
    </xdr:from>
    <xdr:to>
      <xdr:col>7</xdr:col>
      <xdr:colOff>322006</xdr:colOff>
      <xdr:row>16</xdr:row>
      <xdr:rowOff>110622</xdr:rowOff>
    </xdr:to>
    <xdr:sp macro="" textlink="">
      <xdr:nvSpPr>
        <xdr:cNvPr id="183" name="TextBox 50">
          <a:extLst>
            <a:ext uri="{FF2B5EF4-FFF2-40B4-BE49-F238E27FC236}">
              <a16:creationId xmlns:a16="http://schemas.microsoft.com/office/drawing/2014/main" id="{00000000-0008-0000-0600-0000B7000000}"/>
            </a:ext>
          </a:extLst>
        </xdr:cNvPr>
        <xdr:cNvSpPr txBox="1"/>
      </xdr:nvSpPr>
      <xdr:spPr>
        <a:xfrm>
          <a:off x="250877" y="2672015"/>
          <a:ext cx="4328542" cy="34679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Monthly Sales Performance:</a:t>
          </a:r>
        </a:p>
      </xdr:txBody>
    </xdr:sp>
    <xdr:clientData/>
  </xdr:twoCellAnchor>
  <xdr:twoCellAnchor>
    <xdr:from>
      <xdr:col>0</xdr:col>
      <xdr:colOff>222159</xdr:colOff>
      <xdr:row>16</xdr:row>
      <xdr:rowOff>32307</xdr:rowOff>
    </xdr:from>
    <xdr:to>
      <xdr:col>20</xdr:col>
      <xdr:colOff>496347</xdr:colOff>
      <xdr:row>18</xdr:row>
      <xdr:rowOff>146807</xdr:rowOff>
    </xdr:to>
    <xdr:sp macro="" textlink="">
      <xdr:nvSpPr>
        <xdr:cNvPr id="184" name="TextBox 183">
          <a:extLst>
            <a:ext uri="{FF2B5EF4-FFF2-40B4-BE49-F238E27FC236}">
              <a16:creationId xmlns:a16="http://schemas.microsoft.com/office/drawing/2014/main" id="{00000000-0008-0000-0600-0000B8000000}"/>
            </a:ext>
          </a:extLst>
        </xdr:cNvPr>
        <xdr:cNvSpPr txBox="1"/>
      </xdr:nvSpPr>
      <xdr:spPr>
        <a:xfrm>
          <a:off x="222159" y="2940490"/>
          <a:ext cx="12438225" cy="478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050">
              <a:solidFill>
                <a:schemeClr val="bg1"/>
              </a:solidFill>
            </a:rPr>
            <a:t>Monthly revenue shows noticeable fluctuations throughout the year, with </a:t>
          </a:r>
          <a:r>
            <a:rPr lang="en-US" sz="1050" b="1">
              <a:solidFill>
                <a:schemeClr val="bg1"/>
              </a:solidFill>
            </a:rPr>
            <a:t>February recording the highest sales at approximately $46.5K</a:t>
          </a:r>
          <a:r>
            <a:rPr lang="en-US" sz="1050">
              <a:solidFill>
                <a:schemeClr val="bg1"/>
              </a:solidFill>
            </a:rPr>
            <a:t>, followed by </a:t>
          </a:r>
          <a:r>
            <a:rPr lang="en-US" sz="1050" b="1">
              <a:solidFill>
                <a:schemeClr val="bg1"/>
              </a:solidFill>
            </a:rPr>
            <a:t>November at $43.6K, December at $42.8K, and July at $42.5K</a:t>
          </a:r>
          <a:r>
            <a:rPr lang="en-US" sz="1050">
              <a:solidFill>
                <a:schemeClr val="bg1"/>
              </a:solidFill>
            </a:rPr>
            <a:t>. October experienced the lowest sales at around </a:t>
          </a:r>
          <a:r>
            <a:rPr lang="en-US" sz="1050" b="1">
              <a:solidFill>
                <a:schemeClr val="bg1"/>
              </a:solidFill>
            </a:rPr>
            <a:t>$22.4K</a:t>
          </a:r>
          <a:r>
            <a:rPr lang="en-US" sz="1050">
              <a:solidFill>
                <a:schemeClr val="bg1"/>
              </a:solidFill>
            </a:rPr>
            <a:t>, highlighting opportunities to strengthen demand during weaker months.</a:t>
          </a:r>
          <a:endParaRPr lang="en-US" sz="1000" b="0">
            <a:solidFill>
              <a:schemeClr val="bg1"/>
            </a:solidFill>
            <a:effectLst/>
            <a:latin typeface="+mn-lt"/>
            <a:ea typeface="+mn-ea"/>
            <a:cs typeface="+mn-cs"/>
          </a:endParaRPr>
        </a:p>
      </xdr:txBody>
    </xdr:sp>
    <xdr:clientData/>
  </xdr:twoCellAnchor>
  <xdr:twoCellAnchor>
    <xdr:from>
      <xdr:col>0</xdr:col>
      <xdr:colOff>351370</xdr:colOff>
      <xdr:row>18</xdr:row>
      <xdr:rowOff>118752</xdr:rowOff>
    </xdr:from>
    <xdr:to>
      <xdr:col>20</xdr:col>
      <xdr:colOff>531733</xdr:colOff>
      <xdr:row>18</xdr:row>
      <xdr:rowOff>118752</xdr:rowOff>
    </xdr:to>
    <xdr:cxnSp macro="">
      <xdr:nvCxnSpPr>
        <xdr:cNvPr id="185" name="Straight Connector 184">
          <a:extLst>
            <a:ext uri="{FF2B5EF4-FFF2-40B4-BE49-F238E27FC236}">
              <a16:creationId xmlns:a16="http://schemas.microsoft.com/office/drawing/2014/main" id="{00000000-0008-0000-0600-0000B9000000}"/>
            </a:ext>
          </a:extLst>
        </xdr:cNvPr>
        <xdr:cNvCxnSpPr/>
      </xdr:nvCxnSpPr>
      <xdr:spPr>
        <a:xfrm>
          <a:off x="351370" y="3390458"/>
          <a:ext cx="12344400"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250877</xdr:colOff>
      <xdr:row>18</xdr:row>
      <xdr:rowOff>127890</xdr:rowOff>
    </xdr:from>
    <xdr:to>
      <xdr:col>7</xdr:col>
      <xdr:colOff>322006</xdr:colOff>
      <xdr:row>20</xdr:row>
      <xdr:rowOff>105817</xdr:rowOff>
    </xdr:to>
    <xdr:sp macro="" textlink="">
      <xdr:nvSpPr>
        <xdr:cNvPr id="187" name="TextBox 50">
          <a:extLst>
            <a:ext uri="{FF2B5EF4-FFF2-40B4-BE49-F238E27FC236}">
              <a16:creationId xmlns:a16="http://schemas.microsoft.com/office/drawing/2014/main" id="{00000000-0008-0000-0600-0000BB000000}"/>
            </a:ext>
          </a:extLst>
        </xdr:cNvPr>
        <xdr:cNvSpPr txBox="1"/>
      </xdr:nvSpPr>
      <xdr:spPr>
        <a:xfrm>
          <a:off x="250877" y="3399596"/>
          <a:ext cx="4328542" cy="341450"/>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Regional Performance:</a:t>
          </a:r>
        </a:p>
      </xdr:txBody>
    </xdr:sp>
    <xdr:clientData/>
  </xdr:twoCellAnchor>
  <xdr:twoCellAnchor>
    <xdr:from>
      <xdr:col>0</xdr:col>
      <xdr:colOff>222160</xdr:colOff>
      <xdr:row>19</xdr:row>
      <xdr:rowOff>173344</xdr:rowOff>
    </xdr:from>
    <xdr:to>
      <xdr:col>20</xdr:col>
      <xdr:colOff>587229</xdr:colOff>
      <xdr:row>23</xdr:row>
      <xdr:rowOff>17718</xdr:rowOff>
    </xdr:to>
    <xdr:sp macro="" textlink="">
      <xdr:nvSpPr>
        <xdr:cNvPr id="188" name="TextBox 187">
          <a:extLst>
            <a:ext uri="{FF2B5EF4-FFF2-40B4-BE49-F238E27FC236}">
              <a16:creationId xmlns:a16="http://schemas.microsoft.com/office/drawing/2014/main" id="{00000000-0008-0000-0600-0000BC000000}"/>
            </a:ext>
          </a:extLst>
        </xdr:cNvPr>
        <xdr:cNvSpPr txBox="1"/>
      </xdr:nvSpPr>
      <xdr:spPr>
        <a:xfrm>
          <a:off x="222160" y="3626812"/>
          <a:ext cx="12529106" cy="571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solidFill>
                <a:schemeClr val="bg1"/>
              </a:solidFill>
            </a:rPr>
            <a:t>The </a:t>
          </a:r>
          <a:r>
            <a:rPr lang="en-US" sz="1050" b="1">
              <a:solidFill>
                <a:schemeClr val="bg1"/>
              </a:solidFill>
            </a:rPr>
            <a:t>West region contributes the highest share of revenue at 32%</a:t>
          </a:r>
          <a:r>
            <a:rPr lang="en-US" sz="1050">
              <a:solidFill>
                <a:schemeClr val="bg1"/>
              </a:solidFill>
            </a:rPr>
            <a:t>, followed by the </a:t>
          </a:r>
          <a:r>
            <a:rPr lang="en-US" sz="1050" b="1">
              <a:solidFill>
                <a:schemeClr val="bg1"/>
              </a:solidFill>
            </a:rPr>
            <a:t>South at 25%, Northeast at 24%, and Midwest at 18%</a:t>
          </a:r>
          <a:r>
            <a:rPr lang="en-US" sz="1050">
              <a:solidFill>
                <a:schemeClr val="bg1"/>
              </a:solidFill>
            </a:rPr>
            <a:t>. The stronger performance of the West region indicates solid market demand, while lower-performing regions present opportunities for targeted marketing and sales strategies.</a:t>
          </a:r>
        </a:p>
      </xdr:txBody>
    </xdr:sp>
    <xdr:clientData/>
  </xdr:twoCellAnchor>
  <xdr:twoCellAnchor>
    <xdr:from>
      <xdr:col>0</xdr:col>
      <xdr:colOff>250877</xdr:colOff>
      <xdr:row>22</xdr:row>
      <xdr:rowOff>80726</xdr:rowOff>
    </xdr:from>
    <xdr:to>
      <xdr:col>7</xdr:col>
      <xdr:colOff>322006</xdr:colOff>
      <xdr:row>24</xdr:row>
      <xdr:rowOff>58654</xdr:rowOff>
    </xdr:to>
    <xdr:sp macro="" textlink="">
      <xdr:nvSpPr>
        <xdr:cNvPr id="189" name="TextBox 50">
          <a:extLst>
            <a:ext uri="{FF2B5EF4-FFF2-40B4-BE49-F238E27FC236}">
              <a16:creationId xmlns:a16="http://schemas.microsoft.com/office/drawing/2014/main" id="{00000000-0008-0000-0600-0000BD000000}"/>
            </a:ext>
          </a:extLst>
        </xdr:cNvPr>
        <xdr:cNvSpPr txBox="1"/>
      </xdr:nvSpPr>
      <xdr:spPr>
        <a:xfrm>
          <a:off x="250877" y="4079478"/>
          <a:ext cx="4328542" cy="3414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Product Category Analysis:</a:t>
          </a:r>
        </a:p>
      </xdr:txBody>
    </xdr:sp>
    <xdr:clientData/>
  </xdr:twoCellAnchor>
  <xdr:twoCellAnchor>
    <xdr:from>
      <xdr:col>0</xdr:col>
      <xdr:colOff>222160</xdr:colOff>
      <xdr:row>23</xdr:row>
      <xdr:rowOff>126181</xdr:rowOff>
    </xdr:from>
    <xdr:to>
      <xdr:col>17</xdr:col>
      <xdr:colOff>573111</xdr:colOff>
      <xdr:row>26</xdr:row>
      <xdr:rowOff>104863</xdr:rowOff>
    </xdr:to>
    <xdr:sp macro="" textlink="">
      <xdr:nvSpPr>
        <xdr:cNvPr id="190" name="TextBox 189">
          <a:extLst>
            <a:ext uri="{FF2B5EF4-FFF2-40B4-BE49-F238E27FC236}">
              <a16:creationId xmlns:a16="http://schemas.microsoft.com/office/drawing/2014/main" id="{00000000-0008-0000-0600-0000BE000000}"/>
            </a:ext>
          </a:extLst>
        </xdr:cNvPr>
        <xdr:cNvSpPr txBox="1"/>
      </xdr:nvSpPr>
      <xdr:spPr>
        <a:xfrm>
          <a:off x="222160" y="4306695"/>
          <a:ext cx="10690382" cy="5239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b="1">
              <a:solidFill>
                <a:schemeClr val="bg1"/>
              </a:solidFill>
            </a:rPr>
            <a:t>Technology generates the highest category revenue at $104.4K</a:t>
          </a:r>
          <a:r>
            <a:rPr lang="en-US" sz="1050">
              <a:solidFill>
                <a:schemeClr val="bg1"/>
              </a:solidFill>
            </a:rPr>
            <a:t>, followed by </a:t>
          </a:r>
          <a:r>
            <a:rPr lang="en-US" sz="1050" b="1">
              <a:solidFill>
                <a:schemeClr val="bg1"/>
              </a:solidFill>
            </a:rPr>
            <a:t>Accessories at $89.2K and Office at $88.3K</a:t>
          </a:r>
          <a:r>
            <a:rPr lang="en-US" sz="1050">
              <a:solidFill>
                <a:schemeClr val="bg1"/>
              </a:solidFill>
            </a:rPr>
            <a:t>. Furniture contributes approximately </a:t>
          </a:r>
          <a:r>
            <a:rPr lang="en-US" sz="1050" b="1">
              <a:solidFill>
                <a:schemeClr val="bg1"/>
              </a:solidFill>
            </a:rPr>
            <a:t>$64.1K</a:t>
          </a:r>
          <a:r>
            <a:rPr lang="en-US" sz="1050">
              <a:solidFill>
                <a:schemeClr val="bg1"/>
              </a:solidFill>
            </a:rPr>
            <a:t>, while Appliances generate </a:t>
          </a:r>
          <a:r>
            <a:rPr lang="en-US" sz="1050" b="1">
              <a:solidFill>
                <a:schemeClr val="bg1"/>
              </a:solidFill>
            </a:rPr>
            <a:t>$55.7K</a:t>
          </a:r>
          <a:r>
            <a:rPr lang="en-US" sz="1050">
              <a:solidFill>
                <a:schemeClr val="bg1"/>
              </a:solidFill>
            </a:rPr>
            <a:t>. This indicates that Technology is the strongest revenue-driving category and should remain a key focus for growth.</a:t>
          </a:r>
        </a:p>
      </xdr:txBody>
    </xdr:sp>
    <xdr:clientData/>
  </xdr:twoCellAnchor>
  <xdr:twoCellAnchor>
    <xdr:from>
      <xdr:col>0</xdr:col>
      <xdr:colOff>250877</xdr:colOff>
      <xdr:row>26</xdr:row>
      <xdr:rowOff>33659</xdr:rowOff>
    </xdr:from>
    <xdr:to>
      <xdr:col>7</xdr:col>
      <xdr:colOff>322006</xdr:colOff>
      <xdr:row>28</xdr:row>
      <xdr:rowOff>11588</xdr:rowOff>
    </xdr:to>
    <xdr:sp macro="" textlink="">
      <xdr:nvSpPr>
        <xdr:cNvPr id="191" name="TextBox 50">
          <a:extLst>
            <a:ext uri="{FF2B5EF4-FFF2-40B4-BE49-F238E27FC236}">
              <a16:creationId xmlns:a16="http://schemas.microsoft.com/office/drawing/2014/main" id="{00000000-0008-0000-0600-0000BF000000}"/>
            </a:ext>
          </a:extLst>
        </xdr:cNvPr>
        <xdr:cNvSpPr txBox="1"/>
      </xdr:nvSpPr>
      <xdr:spPr>
        <a:xfrm>
          <a:off x="250877" y="4759457"/>
          <a:ext cx="4328542" cy="341452"/>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Expense &amp; Profitability:</a:t>
          </a:r>
        </a:p>
      </xdr:txBody>
    </xdr:sp>
    <xdr:clientData/>
  </xdr:twoCellAnchor>
  <xdr:twoCellAnchor>
    <xdr:from>
      <xdr:col>0</xdr:col>
      <xdr:colOff>222160</xdr:colOff>
      <xdr:row>27</xdr:row>
      <xdr:rowOff>79114</xdr:rowOff>
    </xdr:from>
    <xdr:to>
      <xdr:col>17</xdr:col>
      <xdr:colOff>573111</xdr:colOff>
      <xdr:row>30</xdr:row>
      <xdr:rowOff>153797</xdr:rowOff>
    </xdr:to>
    <xdr:sp macro="" textlink="">
      <xdr:nvSpPr>
        <xdr:cNvPr id="192" name="TextBox 191">
          <a:extLst>
            <a:ext uri="{FF2B5EF4-FFF2-40B4-BE49-F238E27FC236}">
              <a16:creationId xmlns:a16="http://schemas.microsoft.com/office/drawing/2014/main" id="{00000000-0008-0000-0600-0000C0000000}"/>
            </a:ext>
          </a:extLst>
        </xdr:cNvPr>
        <xdr:cNvSpPr txBox="1"/>
      </xdr:nvSpPr>
      <xdr:spPr>
        <a:xfrm>
          <a:off x="222160" y="4986674"/>
          <a:ext cx="10690382" cy="6199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solidFill>
                <a:schemeClr val="bg1"/>
              </a:solidFill>
            </a:rPr>
            <a:t>Total expenses account for approximately </a:t>
          </a:r>
          <a:r>
            <a:rPr lang="en-US" sz="1050" b="1">
              <a:solidFill>
                <a:schemeClr val="bg1"/>
              </a:solidFill>
            </a:rPr>
            <a:t>64% of revenue</a:t>
          </a:r>
          <a:r>
            <a:rPr lang="en-US" sz="1050">
              <a:solidFill>
                <a:schemeClr val="bg1"/>
              </a:solidFill>
            </a:rPr>
            <a:t>, while the business maintains a healthy </a:t>
          </a:r>
          <a:r>
            <a:rPr lang="en-US" sz="1050" b="1">
              <a:solidFill>
                <a:schemeClr val="bg1"/>
              </a:solidFill>
            </a:rPr>
            <a:t>36% profit margin</a:t>
          </a:r>
          <a:r>
            <a:rPr lang="en-US" sz="1050">
              <a:solidFill>
                <a:schemeClr val="bg1"/>
              </a:solidFill>
            </a:rPr>
            <a:t>. Although expenses represent a significant portion of sales, the current profitability level indicates effective cost management. Continued monitoring of expenses can help protect margins as revenue grows.</a:t>
          </a:r>
        </a:p>
      </xdr:txBody>
    </xdr:sp>
    <xdr:clientData/>
  </xdr:twoCellAnchor>
  <xdr:twoCellAnchor>
    <xdr:from>
      <xdr:col>0</xdr:col>
      <xdr:colOff>250877</xdr:colOff>
      <xdr:row>29</xdr:row>
      <xdr:rowOff>153952</xdr:rowOff>
    </xdr:from>
    <xdr:to>
      <xdr:col>7</xdr:col>
      <xdr:colOff>322006</xdr:colOff>
      <xdr:row>31</xdr:row>
      <xdr:rowOff>131880</xdr:rowOff>
    </xdr:to>
    <xdr:sp macro="" textlink="">
      <xdr:nvSpPr>
        <xdr:cNvPr id="193" name="TextBox 50">
          <a:extLst>
            <a:ext uri="{FF2B5EF4-FFF2-40B4-BE49-F238E27FC236}">
              <a16:creationId xmlns:a16="http://schemas.microsoft.com/office/drawing/2014/main" id="{00000000-0008-0000-0600-0000C1000000}"/>
            </a:ext>
          </a:extLst>
        </xdr:cNvPr>
        <xdr:cNvSpPr txBox="1"/>
      </xdr:nvSpPr>
      <xdr:spPr>
        <a:xfrm>
          <a:off x="250877" y="5425035"/>
          <a:ext cx="4328542" cy="341451"/>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indent="0" algn="l" defTabSz="914400" rtl="0" eaLnBrk="1" latinLnBrk="0" hangingPunct="1"/>
          <a:r>
            <a:rPr lang="en-US" sz="1400" kern="1200">
              <a:solidFill>
                <a:srgbClr val="FFC409"/>
              </a:solidFill>
              <a:effectLst/>
              <a:latin typeface="+mn-lt"/>
              <a:ea typeface="+mn-ea"/>
              <a:cs typeface="+mn-cs"/>
            </a:rPr>
            <a:t>Executive Summary:</a:t>
          </a:r>
        </a:p>
      </xdr:txBody>
    </xdr:sp>
    <xdr:clientData/>
  </xdr:twoCellAnchor>
  <xdr:twoCellAnchor>
    <xdr:from>
      <xdr:col>0</xdr:col>
      <xdr:colOff>222159</xdr:colOff>
      <xdr:row>31</xdr:row>
      <xdr:rowOff>38617</xdr:rowOff>
    </xdr:from>
    <xdr:to>
      <xdr:col>21</xdr:col>
      <xdr:colOff>41943</xdr:colOff>
      <xdr:row>35</xdr:row>
      <xdr:rowOff>83890</xdr:rowOff>
    </xdr:to>
    <xdr:sp macro="" textlink="">
      <xdr:nvSpPr>
        <xdr:cNvPr id="194" name="TextBox 193">
          <a:extLst>
            <a:ext uri="{FF2B5EF4-FFF2-40B4-BE49-F238E27FC236}">
              <a16:creationId xmlns:a16="http://schemas.microsoft.com/office/drawing/2014/main" id="{00000000-0008-0000-0600-0000C2000000}"/>
            </a:ext>
          </a:extLst>
        </xdr:cNvPr>
        <xdr:cNvSpPr txBox="1"/>
      </xdr:nvSpPr>
      <xdr:spPr>
        <a:xfrm>
          <a:off x="222159" y="5673223"/>
          <a:ext cx="12592023" cy="7723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050">
              <a:solidFill>
                <a:schemeClr val="bg1"/>
              </a:solidFill>
            </a:rPr>
            <a:t>The dashboard highlights a strong </a:t>
          </a:r>
          <a:r>
            <a:rPr lang="en-US" sz="1050" b="1">
              <a:solidFill>
                <a:schemeClr val="bg1"/>
              </a:solidFill>
            </a:rPr>
            <a:t>$401.7K revenue base, $144.2K profit, and 36% profit margin</a:t>
          </a:r>
          <a:r>
            <a:rPr lang="en-US" sz="1050">
              <a:solidFill>
                <a:schemeClr val="bg1"/>
              </a:solidFill>
            </a:rPr>
            <a:t>, supported by strong customer retention and healthy order values. Performance varies across months, regions, categories, and customer segments. By strengthening weaker months and regions, maintaining expense discipline, and focusing on high-performing categories and returning customers, the business can further improve profitability while sustaining revenue growth.</a:t>
          </a:r>
        </a:p>
      </xdr:txBody>
    </xdr:sp>
    <xdr:clientData/>
  </xdr:twoCellAnchor>
  <xdr:twoCellAnchor>
    <xdr:from>
      <xdr:col>0</xdr:col>
      <xdr:colOff>351370</xdr:colOff>
      <xdr:row>22</xdr:row>
      <xdr:rowOff>85568</xdr:rowOff>
    </xdr:from>
    <xdr:to>
      <xdr:col>20</xdr:col>
      <xdr:colOff>531733</xdr:colOff>
      <xdr:row>22</xdr:row>
      <xdr:rowOff>85568</xdr:rowOff>
    </xdr:to>
    <xdr:cxnSp macro="">
      <xdr:nvCxnSpPr>
        <xdr:cNvPr id="195" name="Straight Connector 194">
          <a:extLst>
            <a:ext uri="{FF2B5EF4-FFF2-40B4-BE49-F238E27FC236}">
              <a16:creationId xmlns:a16="http://schemas.microsoft.com/office/drawing/2014/main" id="{00000000-0008-0000-0600-0000C3000000}"/>
            </a:ext>
          </a:extLst>
        </xdr:cNvPr>
        <xdr:cNvCxnSpPr/>
      </xdr:nvCxnSpPr>
      <xdr:spPr>
        <a:xfrm>
          <a:off x="351370" y="4084320"/>
          <a:ext cx="12344400"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351370</xdr:colOff>
      <xdr:row>26</xdr:row>
      <xdr:rowOff>25612</xdr:rowOff>
    </xdr:from>
    <xdr:to>
      <xdr:col>20</xdr:col>
      <xdr:colOff>531733</xdr:colOff>
      <xdr:row>26</xdr:row>
      <xdr:rowOff>25612</xdr:rowOff>
    </xdr:to>
    <xdr:cxnSp macro="">
      <xdr:nvCxnSpPr>
        <xdr:cNvPr id="196" name="Straight Connector 195">
          <a:extLst>
            <a:ext uri="{FF2B5EF4-FFF2-40B4-BE49-F238E27FC236}">
              <a16:creationId xmlns:a16="http://schemas.microsoft.com/office/drawing/2014/main" id="{00000000-0008-0000-0600-0000C4000000}"/>
            </a:ext>
          </a:extLst>
        </xdr:cNvPr>
        <xdr:cNvCxnSpPr/>
      </xdr:nvCxnSpPr>
      <xdr:spPr>
        <a:xfrm>
          <a:off x="351370" y="4751410"/>
          <a:ext cx="12344400"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351370</xdr:colOff>
      <xdr:row>29</xdr:row>
      <xdr:rowOff>153226</xdr:rowOff>
    </xdr:from>
    <xdr:to>
      <xdr:col>20</xdr:col>
      <xdr:colOff>531733</xdr:colOff>
      <xdr:row>29</xdr:row>
      <xdr:rowOff>153226</xdr:rowOff>
    </xdr:to>
    <xdr:cxnSp macro="">
      <xdr:nvCxnSpPr>
        <xdr:cNvPr id="197" name="Straight Connector 196">
          <a:extLst>
            <a:ext uri="{FF2B5EF4-FFF2-40B4-BE49-F238E27FC236}">
              <a16:creationId xmlns:a16="http://schemas.microsoft.com/office/drawing/2014/main" id="{00000000-0008-0000-0600-0000C5000000}"/>
            </a:ext>
          </a:extLst>
        </xdr:cNvPr>
        <xdr:cNvCxnSpPr/>
      </xdr:nvCxnSpPr>
      <xdr:spPr>
        <a:xfrm>
          <a:off x="351370" y="5424309"/>
          <a:ext cx="12344400" cy="0"/>
        </a:xfrm>
        <a:prstGeom prst="line">
          <a:avLst/>
        </a:prstGeom>
        <a:ln>
          <a:solidFill>
            <a:srgbClr val="81C0FF"/>
          </a:solidFill>
        </a:ln>
        <a:effectLst>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31494</xdr:colOff>
      <xdr:row>1</xdr:row>
      <xdr:rowOff>121747</xdr:rowOff>
    </xdr:from>
    <xdr:to>
      <xdr:col>8</xdr:col>
      <xdr:colOff>248210</xdr:colOff>
      <xdr:row>4</xdr:row>
      <xdr:rowOff>72811</xdr:rowOff>
    </xdr:to>
    <xdr:sp macro="" textlink="">
      <xdr:nvSpPr>
        <xdr:cNvPr id="19" name="Rectangle 18">
          <a:hlinkClick xmlns:r="http://schemas.openxmlformats.org/officeDocument/2006/relationships" r:id="rId1"/>
          <a:extLst>
            <a:ext uri="{FF2B5EF4-FFF2-40B4-BE49-F238E27FC236}">
              <a16:creationId xmlns:a16="http://schemas.microsoft.com/office/drawing/2014/main" id="{C538FB31-573D-4FC8-A553-97F106CB0A71}"/>
            </a:ext>
          </a:extLst>
        </xdr:cNvPr>
        <xdr:cNvSpPr/>
      </xdr:nvSpPr>
      <xdr:spPr>
        <a:xfrm>
          <a:off x="3680705" y="303508"/>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353071</xdr:colOff>
      <xdr:row>1</xdr:row>
      <xdr:rowOff>121747</xdr:rowOff>
    </xdr:from>
    <xdr:to>
      <xdr:col>10</xdr:col>
      <xdr:colOff>569788</xdr:colOff>
      <xdr:row>4</xdr:row>
      <xdr:rowOff>72811</xdr:rowOff>
    </xdr:to>
    <xdr:sp macro="" textlink="">
      <xdr:nvSpPr>
        <xdr:cNvPr id="20" name="Rectangle 19">
          <a:hlinkClick xmlns:r="http://schemas.openxmlformats.org/officeDocument/2006/relationships" r:id="rId2"/>
          <a:extLst>
            <a:ext uri="{FF2B5EF4-FFF2-40B4-BE49-F238E27FC236}">
              <a16:creationId xmlns:a16="http://schemas.microsoft.com/office/drawing/2014/main" id="{F181D597-64EC-4737-AFBA-2491F437289C}"/>
            </a:ext>
          </a:extLst>
        </xdr:cNvPr>
        <xdr:cNvSpPr/>
      </xdr:nvSpPr>
      <xdr:spPr>
        <a:xfrm>
          <a:off x="5218686" y="303508"/>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24503</xdr:colOff>
      <xdr:row>1</xdr:row>
      <xdr:rowOff>121747</xdr:rowOff>
    </xdr:from>
    <xdr:to>
      <xdr:col>13</xdr:col>
      <xdr:colOff>241219</xdr:colOff>
      <xdr:row>4</xdr:row>
      <xdr:rowOff>72811</xdr:rowOff>
    </xdr:to>
    <xdr:sp macro="" textlink="">
      <xdr:nvSpPr>
        <xdr:cNvPr id="21" name="Rectangle 20">
          <a:hlinkClick xmlns:r="http://schemas.openxmlformats.org/officeDocument/2006/relationships" r:id="rId3"/>
          <a:extLst>
            <a:ext uri="{FF2B5EF4-FFF2-40B4-BE49-F238E27FC236}">
              <a16:creationId xmlns:a16="http://schemas.microsoft.com/office/drawing/2014/main" id="{B1CC8771-D9FF-4669-BF14-B46D55F434E2}"/>
            </a:ext>
          </a:extLst>
        </xdr:cNvPr>
        <xdr:cNvSpPr/>
      </xdr:nvSpPr>
      <xdr:spPr>
        <a:xfrm>
          <a:off x="6714723" y="303508"/>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318117</xdr:colOff>
      <xdr:row>1</xdr:row>
      <xdr:rowOff>121747</xdr:rowOff>
    </xdr:from>
    <xdr:to>
      <xdr:col>15</xdr:col>
      <xdr:colOff>534833</xdr:colOff>
      <xdr:row>4</xdr:row>
      <xdr:rowOff>72811</xdr:rowOff>
    </xdr:to>
    <xdr:sp macro="" textlink="">
      <xdr:nvSpPr>
        <xdr:cNvPr id="22" name="Rectangle 21">
          <a:hlinkClick xmlns:r="http://schemas.openxmlformats.org/officeDocument/2006/relationships" r:id="rId4"/>
          <a:extLst>
            <a:ext uri="{FF2B5EF4-FFF2-40B4-BE49-F238E27FC236}">
              <a16:creationId xmlns:a16="http://schemas.microsoft.com/office/drawing/2014/main" id="{ACDE2BC9-FE25-43C7-AFE4-AE03E1A2ADD8}"/>
            </a:ext>
          </a:extLst>
        </xdr:cNvPr>
        <xdr:cNvSpPr/>
      </xdr:nvSpPr>
      <xdr:spPr>
        <a:xfrm>
          <a:off x="8224741" y="303508"/>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604740</xdr:colOff>
      <xdr:row>1</xdr:row>
      <xdr:rowOff>121747</xdr:rowOff>
    </xdr:from>
    <xdr:to>
      <xdr:col>18</xdr:col>
      <xdr:colOff>213255</xdr:colOff>
      <xdr:row>4</xdr:row>
      <xdr:rowOff>72811</xdr:rowOff>
    </xdr:to>
    <xdr:sp macro="" textlink="">
      <xdr:nvSpPr>
        <xdr:cNvPr id="23" name="Rectangle 22">
          <a:hlinkClick xmlns:r="http://schemas.openxmlformats.org/officeDocument/2006/relationships" r:id="rId5"/>
          <a:extLst>
            <a:ext uri="{FF2B5EF4-FFF2-40B4-BE49-F238E27FC236}">
              <a16:creationId xmlns:a16="http://schemas.microsoft.com/office/drawing/2014/main" id="{1560C1F4-E93C-416C-8B90-90EA970995C9}"/>
            </a:ext>
          </a:extLst>
        </xdr:cNvPr>
        <xdr:cNvSpPr/>
      </xdr:nvSpPr>
      <xdr:spPr>
        <a:xfrm>
          <a:off x="9727768" y="303508"/>
          <a:ext cx="1433120" cy="49634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Pictures\Protfolio%20Projects\New_Retail_Dashboard\Retail%20Sales%20Dashboard.xlsm" TargetMode="External"/><Relationship Id="rId1" Type="http://schemas.openxmlformats.org/officeDocument/2006/relationships/externalLinkPath" Target="file:///C:\Users\user\Pictures\Protfolio%20Projects\New_Retail_Dashboard\Retail%20Sales%20Dashboard.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sheetName val="Processing"/>
      <sheetName val="DASHBOARD"/>
      <sheetName val="Profitability"/>
      <sheetName val="Insights"/>
      <sheetName val="Dataset"/>
    </sheetNames>
    <sheetDataSet>
      <sheetData sheetId="0"/>
      <sheetData sheetId="1">
        <row r="5">
          <cell r="J5">
            <v>0.14345923944363634</v>
          </cell>
        </row>
      </sheetData>
      <sheetData sheetId="2"/>
      <sheetData sheetId="3"/>
      <sheetData sheetId="4"/>
      <sheetData sheetId="5"/>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refreshedDate="46270.731591319447" createdVersion="8" refreshedVersion="8" minRefreshableVersion="3" recordCount="4" xr:uid="{DA3BD7CE-AC57-4D72-BAE7-D7E5820B1EB3}">
  <cacheSource type="worksheet">
    <worksheetSource ref="A76:A80" sheet="Processing"/>
  </cacheSource>
  <cacheFields count="1">
    <cacheField name="Sources" numFmtId="0">
      <sharedItems count="4">
        <s v="Midwest"/>
        <s v="Northeast"/>
        <s v="South"/>
        <s v="West"/>
      </sharedItems>
    </cacheField>
  </cacheFields>
  <extLst>
    <ext xmlns:x14="http://schemas.microsoft.com/office/spreadsheetml/2009/9/main" uri="{725AE2AE-9491-48be-B2B4-4EB974FC3084}">
      <x14:pivotCacheDefinition pivotCacheId="160297548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ad" refreshedDate="46270.830371990742" backgroundQuery="1" missingItemsLimit="0" createdVersion="8" refreshedVersion="8" minRefreshableVersion="3" recordCount="500" xr:uid="{BF446E78-D16A-4F14-AD5C-94C70BF32A3E}">
  <cacheSource type="external" connectionId="1"/>
  <cacheFields count="25">
    <cacheField name="Order_ID" numFmtId="0">
      <sharedItems/>
    </cacheField>
    <cacheField name="Order_Date" numFmtId="0">
      <sharedItems containsSemiMixedTypes="0" containsNonDate="0" containsDate="1" containsString="0" minDate="2024-01-01T00:00:00" maxDate="2025-12-30T00:00:00" count="373">
        <d v="2024-09-15T00:00:00"/>
        <d v="2024-04-27T00:00:00"/>
        <d v="2025-12-08T00:00:00"/>
        <d v="2024-09-07T00:00:00"/>
        <d v="2025-09-13T00:00:00"/>
        <d v="2025-11-11T00:00:00"/>
        <d v="2024-05-10T00:00:00"/>
        <d v="2024-03-10T00:00:00"/>
        <d v="2024-08-17T00:00:00"/>
        <d v="2025-08-13T00:00:00"/>
        <d v="2025-07-10T00:00:00"/>
        <d v="2025-05-09T00:00:00"/>
        <d v="2025-09-11T00:00:00"/>
        <d v="2025-10-03T00:00:00"/>
        <d v="2024-03-19T00:00:00"/>
        <d v="2025-12-12T00:00:00"/>
        <d v="2025-12-22T00:00:00"/>
        <d v="2024-02-02T00:00:00"/>
        <d v="2024-04-20T00:00:00"/>
        <d v="2025-03-22T00:00:00"/>
        <d v="2025-04-08T00:00:00"/>
        <d v="2024-02-08T00:00:00"/>
        <d v="2025-04-07T00:00:00"/>
        <d v="2024-06-05T00:00:00"/>
        <d v="2025-10-15T00:00:00"/>
        <d v="2025-04-10T00:00:00"/>
        <d v="2025-01-20T00:00:00"/>
        <d v="2024-11-15T00:00:00"/>
        <d v="2025-04-28T00:00:00"/>
        <d v="2025-12-10T00:00:00"/>
        <d v="2024-03-12T00:00:00"/>
        <d v="2024-04-21T00:00:00"/>
        <d v="2025-09-18T00:00:00"/>
        <d v="2025-02-07T00:00:00"/>
        <d v="2024-09-23T00:00:00"/>
        <d v="2024-06-20T00:00:00"/>
        <d v="2024-01-01T00:00:00"/>
        <d v="2024-08-04T00:00:00"/>
        <d v="2024-03-21T00:00:00"/>
        <d v="2025-12-03T00:00:00"/>
        <d v="2024-11-17T00:00:00"/>
        <d v="2025-11-07T00:00:00"/>
        <d v="2024-10-02T00:00:00"/>
        <d v="2024-09-22T00:00:00"/>
        <d v="2024-06-25T00:00:00"/>
        <d v="2024-04-08T00:00:00"/>
        <d v="2024-02-11T00:00:00"/>
        <d v="2024-10-22T00:00:00"/>
        <d v="2024-02-16T00:00:00"/>
        <d v="2025-05-31T00:00:00"/>
        <d v="2025-03-29T00:00:00"/>
        <d v="2025-08-16T00:00:00"/>
        <d v="2024-12-26T00:00:00"/>
        <d v="2024-04-22T00:00:00"/>
        <d v="2024-11-04T00:00:00"/>
        <d v="2025-09-26T00:00:00"/>
        <d v="2024-05-06T00:00:00"/>
        <d v="2024-10-05T00:00:00"/>
        <d v="2024-01-10T00:00:00"/>
        <d v="2024-11-14T00:00:00"/>
        <d v="2024-08-30T00:00:00"/>
        <d v="2024-12-30T00:00:00"/>
        <d v="2025-12-01T00:00:00"/>
        <d v="2024-07-06T00:00:00"/>
        <d v="2025-07-16T00:00:00"/>
        <d v="2024-12-14T00:00:00"/>
        <d v="2025-04-29T00:00:00"/>
        <d v="2025-10-13T00:00:00"/>
        <d v="2024-01-31T00:00:00"/>
        <d v="2025-02-02T00:00:00"/>
        <d v="2024-03-28T00:00:00"/>
        <d v="2025-02-09T00:00:00"/>
        <d v="2024-07-05T00:00:00"/>
        <d v="2025-06-27T00:00:00"/>
        <d v="2025-04-24T00:00:00"/>
        <d v="2024-07-01T00:00:00"/>
        <d v="2025-01-26T00:00:00"/>
        <d v="2025-02-25T00:00:00"/>
        <d v="2025-10-04T00:00:00"/>
        <d v="2024-01-15T00:00:00"/>
        <d v="2025-12-09T00:00:00"/>
        <d v="2024-05-18T00:00:00"/>
        <d v="2024-12-12T00:00:00"/>
        <d v="2024-08-14T00:00:00"/>
        <d v="2024-08-18T00:00:00"/>
        <d v="2025-11-14T00:00:00"/>
        <d v="2024-12-11T00:00:00"/>
        <d v="2025-10-21T00:00:00"/>
        <d v="2025-02-01T00:00:00"/>
        <d v="2025-11-13T00:00:00"/>
        <d v="2024-01-09T00:00:00"/>
        <d v="2025-07-18T00:00:00"/>
        <d v="2024-09-26T00:00:00"/>
        <d v="2024-07-28T00:00:00"/>
        <d v="2024-01-29T00:00:00"/>
        <d v="2024-01-06T00:00:00"/>
        <d v="2025-09-09T00:00:00"/>
        <d v="2024-10-12T00:00:00"/>
        <d v="2025-12-24T00:00:00"/>
        <d v="2025-01-04T00:00:00"/>
        <d v="2024-03-07T00:00:00"/>
        <d v="2025-03-27T00:00:00"/>
        <d v="2025-03-17T00:00:00"/>
        <d v="2024-08-29T00:00:00"/>
        <d v="2025-09-05T00:00:00"/>
        <d v="2024-05-01T00:00:00"/>
        <d v="2024-01-03T00:00:00"/>
        <d v="2024-10-16T00:00:00"/>
        <d v="2024-03-24T00:00:00"/>
        <d v="2024-03-20T00:00:00"/>
        <d v="2024-03-29T00:00:00"/>
        <d v="2024-06-19T00:00:00"/>
        <d v="2024-10-09T00:00:00"/>
        <d v="2024-01-19T00:00:00"/>
        <d v="2025-12-26T00:00:00"/>
        <d v="2025-06-01T00:00:00"/>
        <d v="2025-04-18T00:00:00"/>
        <d v="2025-02-13T00:00:00"/>
        <d v="2024-05-04T00:00:00"/>
        <d v="2025-03-04T00:00:00"/>
        <d v="2024-05-09T00:00:00"/>
        <d v="2024-11-12T00:00:00"/>
        <d v="2024-03-05T00:00:00"/>
        <d v="2024-11-08T00:00:00"/>
        <d v="2024-06-11T00:00:00"/>
        <d v="2025-08-07T00:00:00"/>
        <d v="2024-11-22T00:00:00"/>
        <d v="2024-07-23T00:00:00"/>
        <d v="2024-12-25T00:00:00"/>
        <d v="2025-11-27T00:00:00"/>
        <d v="2025-11-25T00:00:00"/>
        <d v="2025-08-11T00:00:00"/>
        <d v="2025-07-29T00:00:00"/>
        <d v="2025-08-23T00:00:00"/>
        <d v="2025-03-15T00:00:00"/>
        <d v="2024-02-15T00:00:00"/>
        <d v="2025-02-28T00:00:00"/>
        <d v="2024-10-10T00:00:00"/>
        <d v="2024-08-10T00:00:00"/>
        <d v="2025-09-22T00:00:00"/>
        <d v="2025-05-20T00:00:00"/>
        <d v="2025-12-07T00:00:00"/>
        <d v="2025-07-13T00:00:00"/>
        <d v="2024-01-21T00:00:00"/>
        <d v="2024-06-01T00:00:00"/>
        <d v="2024-07-26T00:00:00"/>
        <d v="2024-12-22T00:00:00"/>
        <d v="2024-10-30T00:00:00"/>
        <d v="2025-12-16T00:00:00"/>
        <d v="2024-05-03T00:00:00"/>
        <d v="2025-07-04T00:00:00"/>
        <d v="2025-03-06T00:00:00"/>
        <d v="2025-01-24T00:00:00"/>
        <d v="2024-03-16T00:00:00"/>
        <d v="2025-10-19T00:00:00"/>
        <d v="2025-11-16T00:00:00"/>
        <d v="2025-06-14T00:00:00"/>
        <d v="2024-07-04T00:00:00"/>
        <d v="2025-11-17T00:00:00"/>
        <d v="2025-09-29T00:00:00"/>
        <d v="2024-10-25T00:00:00"/>
        <d v="2025-02-21T00:00:00"/>
        <d v="2025-07-19T00:00:00"/>
        <d v="2025-05-28T00:00:00"/>
        <d v="2024-02-07T00:00:00"/>
        <d v="2025-02-19T00:00:00"/>
        <d v="2024-06-26T00:00:00"/>
        <d v="2025-05-04T00:00:00"/>
        <d v="2024-12-23T00:00:00"/>
        <d v="2024-01-20T00:00:00"/>
        <d v="2025-08-26T00:00:00"/>
        <d v="2025-10-26T00:00:00"/>
        <d v="2025-09-15T00:00:00"/>
        <d v="2025-12-29T00:00:00"/>
        <d v="2025-09-25T00:00:00"/>
        <d v="2025-07-25T00:00:00"/>
        <d v="2024-12-09T00:00:00"/>
        <d v="2025-07-28T00:00:00"/>
        <d v="2025-08-15T00:00:00"/>
        <d v="2024-03-03T00:00:00"/>
        <d v="2024-12-31T00:00:00"/>
        <d v="2024-07-24T00:00:00"/>
        <d v="2025-02-20T00:00:00"/>
        <d v="2024-07-09T00:00:00"/>
        <d v="2025-08-05T00:00:00"/>
        <d v="2025-01-02T00:00:00"/>
        <d v="2024-10-07T00:00:00"/>
        <d v="2024-09-06T00:00:00"/>
        <d v="2025-10-07T00:00:00"/>
        <d v="2024-11-09T00:00:00"/>
        <d v="2025-12-04T00:00:00"/>
        <d v="2025-05-25T00:00:00"/>
        <d v="2025-01-18T00:00:00"/>
        <d v="2025-01-08T00:00:00"/>
        <d v="2024-10-21T00:00:00"/>
        <d v="2025-02-08T00:00:00"/>
        <d v="2024-03-22T00:00:00"/>
        <d v="2024-02-14T00:00:00"/>
        <d v="2024-07-10T00:00:00"/>
        <d v="2025-03-30T00:00:00"/>
        <d v="2024-03-30T00:00:00"/>
        <d v="2025-05-19T00:00:00"/>
        <d v="2025-05-02T00:00:00"/>
        <d v="2024-02-21T00:00:00"/>
        <d v="2025-03-18T00:00:00"/>
        <d v="2025-01-29T00:00:00"/>
        <d v="2025-06-23T00:00:00"/>
        <d v="2025-03-07T00:00:00"/>
        <d v="2025-10-08T00:00:00"/>
        <d v="2024-02-03T00:00:00"/>
        <d v="2025-07-26T00:00:00"/>
        <d v="2024-01-13T00:00:00"/>
        <d v="2025-02-06T00:00:00"/>
        <d v="2024-09-02T00:00:00"/>
        <d v="2025-02-22T00:00:00"/>
        <d v="2025-08-08T00:00:00"/>
        <d v="2025-10-24T00:00:00"/>
        <d v="2025-09-10T00:00:00"/>
        <d v="2025-08-22T00:00:00"/>
        <d v="2024-01-28T00:00:00"/>
        <d v="2024-03-09T00:00:00"/>
        <d v="2024-01-30T00:00:00"/>
        <d v="2024-08-09T00:00:00"/>
        <d v="2024-02-25T00:00:00"/>
        <d v="2025-10-25T00:00:00"/>
        <d v="2025-02-16T00:00:00"/>
        <d v="2024-05-30T00:00:00"/>
        <d v="2024-01-26T00:00:00"/>
        <d v="2025-02-26T00:00:00"/>
        <d v="2024-10-13T00:00:00"/>
        <d v="2025-07-03T00:00:00"/>
        <d v="2024-08-06T00:00:00"/>
        <d v="2025-10-12T00:00:00"/>
        <d v="2025-03-26T00:00:00"/>
        <d v="2025-10-23T00:00:00"/>
        <d v="2025-02-14T00:00:00"/>
        <d v="2024-05-15T00:00:00"/>
        <d v="2024-06-28T00:00:00"/>
        <d v="2025-10-17T00:00:00"/>
        <d v="2025-12-27T00:00:00"/>
        <d v="2025-11-26T00:00:00"/>
        <d v="2025-05-21T00:00:00"/>
        <d v="2024-04-17T00:00:00"/>
        <d v="2025-03-05T00:00:00"/>
        <d v="2025-08-02T00:00:00"/>
        <d v="2024-04-09T00:00:00"/>
        <d v="2024-04-13T00:00:00"/>
        <d v="2025-06-04T00:00:00"/>
        <d v="2025-09-17T00:00:00"/>
        <d v="2024-10-17T00:00:00"/>
        <d v="2025-06-12T00:00:00"/>
        <d v="2024-08-01T00:00:00"/>
        <d v="2024-03-18T00:00:00"/>
        <d v="2024-10-15T00:00:00"/>
        <d v="2025-04-19T00:00:00"/>
        <d v="2024-06-10T00:00:00"/>
        <d v="2024-04-10T00:00:00"/>
        <d v="2025-01-06T00:00:00"/>
        <d v="2025-04-27T00:00:00"/>
        <d v="2024-07-20T00:00:00"/>
        <d v="2025-09-12T00:00:00"/>
        <d v="2025-01-25T00:00:00"/>
        <d v="2024-06-18T00:00:00"/>
        <d v="2025-06-20T00:00:00"/>
        <d v="2025-12-06T00:00:00"/>
        <d v="2024-02-22T00:00:00"/>
        <d v="2024-06-17T00:00:00"/>
        <d v="2025-12-11T00:00:00"/>
        <d v="2024-02-24T00:00:00"/>
        <d v="2024-02-12T00:00:00"/>
        <d v="2025-09-30T00:00:00"/>
        <d v="2024-04-18T00:00:00"/>
        <d v="2024-05-21T00:00:00"/>
        <d v="2024-11-19T00:00:00"/>
        <d v="2025-05-03T00:00:00"/>
        <d v="2024-05-20T00:00:00"/>
        <d v="2025-03-02T00:00:00"/>
        <d v="2025-10-01T00:00:00"/>
        <d v="2024-02-19T00:00:00"/>
        <d v="2024-08-15T00:00:00"/>
        <d v="2024-06-04T00:00:00"/>
        <d v="2024-05-14T00:00:00"/>
        <d v="2025-02-18T00:00:00"/>
        <d v="2025-09-06T00:00:00"/>
        <d v="2024-01-08T00:00:00"/>
        <d v="2024-06-02T00:00:00"/>
        <d v="2024-07-18T00:00:00"/>
        <d v="2024-09-21T00:00:00"/>
        <d v="2024-11-16T00:00:00"/>
        <d v="2024-03-04T00:00:00"/>
        <d v="2024-01-04T00:00:00"/>
        <d v="2025-01-27T00:00:00"/>
        <d v="2024-07-31T00:00:00"/>
        <d v="2024-11-30T00:00:00"/>
        <d v="2024-12-05T00:00:00"/>
        <d v="2024-05-16T00:00:00"/>
        <d v="2025-11-02T00:00:00"/>
        <d v="2024-12-02T00:00:00"/>
        <d v="2025-10-28T00:00:00"/>
        <d v="2025-06-29T00:00:00"/>
        <d v="2024-06-12T00:00:00"/>
        <d v="2024-08-16T00:00:00"/>
        <d v="2024-07-07T00:00:00"/>
        <d v="2024-05-26T00:00:00"/>
        <d v="2025-04-05T00:00:00"/>
        <d v="2024-06-29T00:00:00"/>
        <d v="2025-04-01T00:00:00"/>
        <d v="2024-12-20T00:00:00"/>
        <d v="2025-04-11T00:00:00"/>
        <d v="2024-07-25T00:00:00"/>
        <d v="2024-01-02T00:00:00"/>
        <d v="2024-10-24T00:00:00"/>
        <d v="2025-04-06T00:00:00"/>
        <d v="2025-05-13T00:00:00"/>
        <d v="2025-09-16T00:00:00"/>
        <d v="2025-01-14T00:00:00"/>
        <d v="2024-02-13T00:00:00"/>
        <d v="2025-11-08T00:00:00"/>
        <d v="2024-08-11T00:00:00"/>
        <d v="2024-11-07T00:00:00"/>
        <d v="2025-03-24T00:00:00"/>
        <d v="2024-04-29T00:00:00"/>
        <d v="2024-11-18T00:00:00"/>
        <d v="2025-11-19T00:00:00"/>
        <d v="2024-04-25T00:00:00"/>
        <d v="2025-06-05T00:00:00"/>
        <d v="2024-01-14T00:00:00"/>
        <d v="2024-12-27T00:00:00"/>
        <d v="2024-08-31T00:00:00"/>
        <d v="2025-04-14T00:00:00"/>
        <d v="2024-03-06T00:00:00"/>
        <d v="2024-06-13T00:00:00"/>
        <d v="2025-01-22T00:00:00"/>
        <d v="2024-12-29T00:00:00"/>
        <d v="2025-07-22T00:00:00"/>
        <d v="2024-04-03T00:00:00"/>
        <d v="2025-02-27T00:00:00"/>
        <d v="2025-08-31T00:00:00"/>
        <d v="2024-05-07T00:00:00"/>
        <d v="2025-11-22T00:00:00"/>
        <d v="2024-06-14T00:00:00"/>
        <d v="2024-08-22T00:00:00"/>
        <d v="2024-12-03T00:00:00"/>
        <d v="2024-02-09T00:00:00"/>
        <d v="2025-01-05T00:00:00"/>
        <d v="2025-11-06T00:00:00"/>
        <d v="2024-05-27T00:00:00"/>
        <d v="2025-10-27T00:00:00"/>
        <d v="2025-04-22T00:00:00"/>
        <d v="2025-11-21T00:00:00"/>
        <d v="2024-08-12T00:00:00"/>
        <d v="2024-10-28T00:00:00"/>
        <d v="2024-08-23T00:00:00"/>
        <d v="2025-05-16T00:00:00"/>
        <d v="2025-07-02T00:00:00"/>
        <d v="2024-04-24T00:00:00"/>
        <d v="2024-09-05T00:00:00"/>
        <d v="2025-07-14T00:00:00"/>
        <d v="2025-11-20T00:00:00"/>
        <d v="2024-02-17T00:00:00"/>
        <d v="2025-04-16T00:00:00"/>
        <d v="2025-01-28T00:00:00"/>
        <d v="2025-03-01T00:00:00"/>
        <d v="2024-02-06T00:00:00"/>
        <d v="2024-08-08T00:00:00"/>
        <d v="2024-07-27T00:00:00"/>
        <d v="2025-03-03T00:00:00"/>
        <d v="2024-05-22T00:00:00"/>
        <d v="2025-08-28T00:00:00"/>
        <d v="2025-05-29T00:00:00"/>
        <d v="2024-11-20T00:00:00"/>
        <d v="2025-01-19T00:00:00"/>
        <d v="2025-07-11T00:00:00"/>
      </sharedItems>
      <fieldGroup par="24"/>
    </cacheField>
    <cacheField name="City" numFmtId="0">
      <sharedItems count="6">
        <s v="Phoenix"/>
        <s v="Los Angeles"/>
        <s v="New York"/>
        <s v="Miami"/>
        <s v="Houston"/>
        <s v="Chicago"/>
      </sharedItems>
    </cacheField>
    <cacheField name="Region" numFmtId="0">
      <sharedItems count="4">
        <s v="West"/>
        <s v="Northeast"/>
        <s v="South"/>
        <s v="Midwest"/>
      </sharedItems>
    </cacheField>
    <cacheField name="Category" numFmtId="0">
      <sharedItems count="5">
        <s v="Accessories"/>
        <s v="Technology"/>
        <s v="Office Supplies"/>
        <s v="Appliances"/>
        <s v="Furniture"/>
      </sharedItems>
    </cacheField>
    <cacheField name="Sub_Category" numFmtId="0">
      <sharedItems count="6">
        <s v="Bags"/>
        <s v="Kitchen"/>
        <s v="Chairs"/>
        <s v="Laptops"/>
        <s v="Phones"/>
        <s v="Paper"/>
      </sharedItems>
    </cacheField>
    <cacheField name="Department" numFmtId="0">
      <sharedItems count="4">
        <s v="Corporate"/>
        <s v="Retail"/>
        <s v="Consumer"/>
        <s v="Enterprise"/>
      </sharedItems>
    </cacheField>
    <cacheField name="Customer_Type" numFmtId="0">
      <sharedItems count="2">
        <s v="Returning"/>
        <s v="New"/>
      </sharedItems>
    </cacheField>
    <cacheField name="Order_Priority" numFmtId="0">
      <sharedItems count="2">
        <s v="Standard"/>
        <s v="Express"/>
      </sharedItems>
    </cacheField>
    <cacheField name="Quantity" numFmtId="0">
      <sharedItems containsSemiMixedTypes="0" containsString="0" containsNumber="1" containsInteger="1" minValue="1" maxValue="11" count="11">
        <n v="4"/>
        <n v="5"/>
        <n v="2"/>
        <n v="6"/>
        <n v="3"/>
        <n v="1"/>
        <n v="8"/>
        <n v="7"/>
        <n v="9"/>
        <n v="11"/>
        <n v="10"/>
      </sharedItems>
    </cacheField>
    <cacheField name="Unit_Price" numFmtId="0">
      <sharedItems containsSemiMixedTypes="0" containsString="0" containsNumber="1" containsInteger="1" minValue="25" maxValue="750" count="10">
        <n v="300"/>
        <n v="25"/>
        <n v="200"/>
        <n v="150"/>
        <n v="40"/>
        <n v="750"/>
        <n v="500"/>
        <n v="60"/>
        <n v="100"/>
        <n v="80"/>
      </sharedItems>
    </cacheField>
    <cacheField name="Discount_%" numFmtId="0">
      <sharedItems containsSemiMixedTypes="0" containsString="0" containsNumber="1" minValue="0" maxValue="0.15" count="6">
        <n v="0.03"/>
        <n v="0.15"/>
        <n v="0.08"/>
        <n v="0"/>
        <n v="0.1"/>
        <n v="0.05"/>
      </sharedItems>
    </cacheField>
    <cacheField name="Gross_Sales" numFmtId="0">
      <sharedItems containsSemiMixedTypes="0" containsString="0" containsNumber="1" containsInteger="1" minValue="25" maxValue="6000"/>
    </cacheField>
    <cacheField name="Revenue" numFmtId="0">
      <sharedItems containsSemiMixedTypes="0" containsString="0" containsNumber="1" minValue="23" maxValue="5700"/>
    </cacheField>
    <cacheField name="Expenses" numFmtId="0">
      <sharedItems containsSemiMixedTypes="0" containsString="0" containsNumber="1" minValue="15.33" maxValue="3660.29"/>
    </cacheField>
    <cacheField name="Profit" numFmtId="0">
      <sharedItems containsSemiMixedTypes="0" containsString="0" containsNumber="1" minValue="7.67" maxValue="3109.11"/>
    </cacheField>
    <cacheField name="Profit_Margin_%" numFmtId="0">
      <sharedItems containsSemiMixedTypes="0" containsString="0" containsNumber="1" minValue="0.18" maxValue="0.56999999999999995"/>
    </cacheField>
    <cacheField name="Expense_Ratio_%" numFmtId="0">
      <sharedItems containsSemiMixedTypes="0" containsString="0" containsNumber="1" minValue="0.43" maxValue="0.82"/>
    </cacheField>
    <cacheField name="Sales_Target" numFmtId="0">
      <sharedItems containsSemiMixedTypes="0" containsString="0" containsNumber="1" containsInteger="1" minValue="19" maxValue="6192"/>
    </cacheField>
    <cacheField name="Target_Achievement_%" numFmtId="0">
      <sharedItems containsSemiMixedTypes="0" containsString="0" containsNumber="1" minValue="3.04E-2" maxValue="7.5"/>
    </cacheField>
    <cacheField name="Return_Qty" numFmtId="0">
      <sharedItems containsSemiMixedTypes="0" containsString="0" containsNumber="1" containsInteger="1" minValue="0" maxValue="1" count="2">
        <n v="1"/>
        <n v="0"/>
      </sharedItems>
    </cacheField>
    <cacheField name="Return_Rate_%" numFmtId="0">
      <sharedItems containsSemiMixedTypes="0" containsString="0" containsNumber="1" minValue="0" maxValue="1" count="9">
        <n v="0.25"/>
        <n v="0"/>
        <n v="0.2"/>
        <n v="0.16669999999999999"/>
        <n v="0.1429"/>
        <n v="0.33329999999999999"/>
        <n v="0.5"/>
        <n v="1"/>
        <n v="0.125"/>
      </sharedItems>
    </cacheField>
    <cacheField name="Months (Order_Date)" numFmtId="0" databaseField="0">
      <fieldGroup base="1">
        <rangePr groupBy="months" startDate="2024-01-01T00:00:00" endDate="2025-12-30T00:00:00"/>
        <groupItems count="14">
          <s v="&lt;1/1/2024"/>
          <s v="Jan"/>
          <s v="Feb"/>
          <s v="Mar"/>
          <s v="Apr"/>
          <s v="May"/>
          <s v="Jun"/>
          <s v="Jul"/>
          <s v="Aug"/>
          <s v="Sep"/>
          <s v="Oct"/>
          <s v="Nov"/>
          <s v="Dec"/>
          <s v="&gt;12/30/2025"/>
        </groupItems>
      </fieldGroup>
    </cacheField>
    <cacheField name="Quarters (Order_Date)" numFmtId="0" databaseField="0">
      <fieldGroup base="1">
        <rangePr groupBy="quarters" startDate="2024-01-01T00:00:00" endDate="2025-12-30T00:00:00"/>
        <groupItems count="6">
          <s v="&lt;1/1/2024"/>
          <s v="Qtr1"/>
          <s v="Qtr2"/>
          <s v="Qtr3"/>
          <s v="Qtr4"/>
          <s v="&gt;12/30/2025"/>
        </groupItems>
      </fieldGroup>
    </cacheField>
    <cacheField name="Years (Order_Date)" numFmtId="0" databaseField="0">
      <fieldGroup base="1">
        <rangePr groupBy="years" startDate="2024-01-01T00:00:00" endDate="2025-12-30T00:00:00"/>
        <groupItems count="4">
          <s v="&lt;1/1/2024"/>
          <s v="2024"/>
          <s v="2025"/>
          <s v="&gt;12/30/2025"/>
        </groupItems>
      </fieldGroup>
    </cacheField>
  </cacheFields>
  <extLst>
    <ext xmlns:x14="http://schemas.microsoft.com/office/spreadsheetml/2009/9/main" uri="{725AE2AE-9491-48be-B2B4-4EB974FC3084}">
      <x14:pivotCacheDefinition pivotCacheId="1053675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r>
  <r>
    <x v="1"/>
  </r>
  <r>
    <x v="2"/>
  </r>
  <r>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00001"/>
    <x v="0"/>
    <x v="0"/>
    <x v="0"/>
    <x v="0"/>
    <x v="0"/>
    <x v="0"/>
    <x v="0"/>
    <x v="0"/>
    <x v="0"/>
    <x v="0"/>
    <x v="0"/>
    <n v="1200"/>
    <n v="1164"/>
    <n v="601.82000000000005"/>
    <n v="562.17999999999995"/>
    <n v="0.48299999999999998"/>
    <n v="0.51700000000000002"/>
    <n v="876"/>
    <n v="1.7321"/>
    <x v="0"/>
    <x v="0"/>
  </r>
  <r>
    <s v="ORD-00002"/>
    <x v="1"/>
    <x v="1"/>
    <x v="0"/>
    <x v="1"/>
    <x v="1"/>
    <x v="1"/>
    <x v="0"/>
    <x v="0"/>
    <x v="1"/>
    <x v="1"/>
    <x v="1"/>
    <n v="125"/>
    <n v="106.25"/>
    <n v="71.94"/>
    <n v="34.31"/>
    <n v="0.32290000000000002"/>
    <n v="0.67710000000000004"/>
    <n v="63"/>
    <n v="0.1124"/>
    <x v="1"/>
    <x v="1"/>
  </r>
  <r>
    <s v="ORD-00003"/>
    <x v="2"/>
    <x v="2"/>
    <x v="1"/>
    <x v="1"/>
    <x v="2"/>
    <x v="1"/>
    <x v="0"/>
    <x v="0"/>
    <x v="0"/>
    <x v="2"/>
    <x v="2"/>
    <n v="800"/>
    <n v="736"/>
    <n v="548.02"/>
    <n v="187.98"/>
    <n v="0.25540000000000002"/>
    <n v="0.74460000000000004"/>
    <n v="587"/>
    <n v="0.68149999999999999"/>
    <x v="1"/>
    <x v="1"/>
  </r>
  <r>
    <s v="ORD-00004"/>
    <x v="3"/>
    <x v="1"/>
    <x v="0"/>
    <x v="2"/>
    <x v="0"/>
    <x v="0"/>
    <x v="0"/>
    <x v="0"/>
    <x v="1"/>
    <x v="3"/>
    <x v="3"/>
    <n v="750"/>
    <n v="750"/>
    <n v="431.08"/>
    <n v="318.92"/>
    <n v="0.42520000000000002"/>
    <n v="0.57479999999999998"/>
    <n v="907"/>
    <n v="1.0302"/>
    <x v="1"/>
    <x v="1"/>
  </r>
  <r>
    <s v="ORD-00005"/>
    <x v="4"/>
    <x v="1"/>
    <x v="0"/>
    <x v="2"/>
    <x v="3"/>
    <x v="0"/>
    <x v="0"/>
    <x v="1"/>
    <x v="1"/>
    <x v="4"/>
    <x v="3"/>
    <n v="200"/>
    <n v="200"/>
    <n v="105.1"/>
    <n v="94.9"/>
    <n v="0.47449999999999998"/>
    <n v="0.52549999999999997"/>
    <n v="205"/>
    <n v="0.2747"/>
    <x v="0"/>
    <x v="2"/>
  </r>
  <r>
    <s v="ORD-00006"/>
    <x v="5"/>
    <x v="3"/>
    <x v="2"/>
    <x v="3"/>
    <x v="1"/>
    <x v="1"/>
    <x v="1"/>
    <x v="0"/>
    <x v="1"/>
    <x v="5"/>
    <x v="4"/>
    <n v="3750"/>
    <n v="3375"/>
    <n v="2508.73"/>
    <n v="866.27"/>
    <n v="0.25669999999999998"/>
    <n v="0.74329999999999996"/>
    <n v="2279"/>
    <n v="3.5156000000000001"/>
    <x v="0"/>
    <x v="2"/>
  </r>
  <r>
    <s v="ORD-00007"/>
    <x v="6"/>
    <x v="4"/>
    <x v="2"/>
    <x v="4"/>
    <x v="0"/>
    <x v="2"/>
    <x v="0"/>
    <x v="0"/>
    <x v="2"/>
    <x v="6"/>
    <x v="5"/>
    <n v="1000"/>
    <n v="950"/>
    <n v="590.03"/>
    <n v="359.97"/>
    <n v="0.37890000000000001"/>
    <n v="0.62109999999999999"/>
    <n v="1032"/>
    <n v="1.2056"/>
    <x v="1"/>
    <x v="1"/>
  </r>
  <r>
    <s v="ORD-00008"/>
    <x v="7"/>
    <x v="3"/>
    <x v="2"/>
    <x v="3"/>
    <x v="4"/>
    <x v="2"/>
    <x v="1"/>
    <x v="0"/>
    <x v="3"/>
    <x v="7"/>
    <x v="5"/>
    <n v="360"/>
    <n v="342"/>
    <n v="226.89"/>
    <n v="115.11"/>
    <n v="0.33660000000000001"/>
    <n v="0.66339999999999999"/>
    <n v="372"/>
    <n v="0.42749999999999999"/>
    <x v="0"/>
    <x v="3"/>
  </r>
  <r>
    <s v="ORD-00009"/>
    <x v="8"/>
    <x v="2"/>
    <x v="1"/>
    <x v="2"/>
    <x v="3"/>
    <x v="3"/>
    <x v="1"/>
    <x v="0"/>
    <x v="4"/>
    <x v="7"/>
    <x v="4"/>
    <n v="180"/>
    <n v="162"/>
    <n v="107.92"/>
    <n v="54.08"/>
    <n v="0.33379999999999999"/>
    <n v="0.66620000000000001"/>
    <n v="173"/>
    <n v="0.2225"/>
    <x v="1"/>
    <x v="1"/>
  </r>
  <r>
    <s v="ORD-00010"/>
    <x v="9"/>
    <x v="0"/>
    <x v="0"/>
    <x v="2"/>
    <x v="4"/>
    <x v="3"/>
    <x v="0"/>
    <x v="1"/>
    <x v="0"/>
    <x v="8"/>
    <x v="1"/>
    <n v="400"/>
    <n v="340"/>
    <n v="235.85"/>
    <n v="104.15"/>
    <n v="0.30630000000000002"/>
    <n v="0.69369999999999998"/>
    <n v="365"/>
    <n v="0.46700000000000003"/>
    <x v="1"/>
    <x v="1"/>
  </r>
  <r>
    <s v="ORD-00011"/>
    <x v="10"/>
    <x v="1"/>
    <x v="0"/>
    <x v="0"/>
    <x v="3"/>
    <x v="1"/>
    <x v="0"/>
    <x v="0"/>
    <x v="1"/>
    <x v="5"/>
    <x v="3"/>
    <n v="3750"/>
    <n v="3750"/>
    <n v="2617.46"/>
    <n v="1132.54"/>
    <n v="0.30199999999999999"/>
    <n v="0.69799999999999995"/>
    <n v="1731"/>
    <n v="5.5804"/>
    <x v="1"/>
    <x v="1"/>
  </r>
  <r>
    <s v="ORD-00012"/>
    <x v="11"/>
    <x v="3"/>
    <x v="2"/>
    <x v="2"/>
    <x v="1"/>
    <x v="2"/>
    <x v="1"/>
    <x v="0"/>
    <x v="5"/>
    <x v="1"/>
    <x v="2"/>
    <n v="25"/>
    <n v="23"/>
    <n v="15.33"/>
    <n v="7.67"/>
    <n v="0.33350000000000002"/>
    <n v="0.66649999999999998"/>
    <n v="25"/>
    <n v="3.3700000000000001E-2"/>
    <x v="1"/>
    <x v="1"/>
  </r>
  <r>
    <s v="ORD-00013"/>
    <x v="12"/>
    <x v="4"/>
    <x v="2"/>
    <x v="2"/>
    <x v="4"/>
    <x v="1"/>
    <x v="0"/>
    <x v="0"/>
    <x v="4"/>
    <x v="8"/>
    <x v="0"/>
    <n v="300"/>
    <n v="291"/>
    <n v="145.88999999999999"/>
    <n v="145.11000000000001"/>
    <n v="0.49869999999999998"/>
    <n v="0.50129999999999997"/>
    <n v="352"/>
    <n v="0.3997"/>
    <x v="1"/>
    <x v="1"/>
  </r>
  <r>
    <s v="ORD-00014"/>
    <x v="13"/>
    <x v="4"/>
    <x v="2"/>
    <x v="2"/>
    <x v="1"/>
    <x v="2"/>
    <x v="0"/>
    <x v="0"/>
    <x v="6"/>
    <x v="1"/>
    <x v="3"/>
    <n v="200"/>
    <n v="200"/>
    <n v="139.47999999999999"/>
    <n v="60.52"/>
    <n v="0.30259999999999998"/>
    <n v="0.69740000000000002"/>
    <n v="213"/>
    <n v="0.25640000000000002"/>
    <x v="1"/>
    <x v="1"/>
  </r>
  <r>
    <s v="ORD-00015"/>
    <x v="14"/>
    <x v="5"/>
    <x v="3"/>
    <x v="2"/>
    <x v="3"/>
    <x v="1"/>
    <x v="1"/>
    <x v="1"/>
    <x v="5"/>
    <x v="0"/>
    <x v="3"/>
    <n v="300"/>
    <n v="300"/>
    <n v="152.56"/>
    <n v="147.44"/>
    <n v="0.49149999999999999"/>
    <n v="0.50849999999999995"/>
    <n v="224"/>
    <n v="0.46150000000000002"/>
    <x v="1"/>
    <x v="1"/>
  </r>
  <r>
    <s v="ORD-00016"/>
    <x v="15"/>
    <x v="0"/>
    <x v="0"/>
    <x v="2"/>
    <x v="3"/>
    <x v="1"/>
    <x v="0"/>
    <x v="0"/>
    <x v="0"/>
    <x v="1"/>
    <x v="0"/>
    <n v="100"/>
    <n v="97"/>
    <n v="69.430000000000007"/>
    <n v="27.57"/>
    <n v="0.28420000000000001"/>
    <n v="0.71579999999999999"/>
    <n v="160"/>
    <n v="0.1244"/>
    <x v="1"/>
    <x v="1"/>
  </r>
  <r>
    <s v="ORD-00017"/>
    <x v="16"/>
    <x v="2"/>
    <x v="1"/>
    <x v="1"/>
    <x v="0"/>
    <x v="1"/>
    <x v="0"/>
    <x v="1"/>
    <x v="7"/>
    <x v="5"/>
    <x v="3"/>
    <n v="5250"/>
    <n v="5250"/>
    <n v="3660.29"/>
    <n v="1589.71"/>
    <n v="0.30280000000000001"/>
    <n v="0.69720000000000004"/>
    <n v="6192"/>
    <n v="4.8611000000000004"/>
    <x v="0"/>
    <x v="4"/>
  </r>
  <r>
    <s v="ORD-00018"/>
    <x v="17"/>
    <x v="4"/>
    <x v="2"/>
    <x v="1"/>
    <x v="3"/>
    <x v="1"/>
    <x v="1"/>
    <x v="1"/>
    <x v="4"/>
    <x v="6"/>
    <x v="5"/>
    <n v="1500"/>
    <n v="1425"/>
    <n v="848.36"/>
    <n v="576.64"/>
    <n v="0.4047"/>
    <n v="0.59530000000000005"/>
    <n v="1461"/>
    <n v="1.5832999999999999"/>
    <x v="1"/>
    <x v="1"/>
  </r>
  <r>
    <s v="ORD-00019"/>
    <x v="18"/>
    <x v="0"/>
    <x v="0"/>
    <x v="2"/>
    <x v="3"/>
    <x v="1"/>
    <x v="0"/>
    <x v="1"/>
    <x v="0"/>
    <x v="4"/>
    <x v="3"/>
    <n v="160"/>
    <n v="160"/>
    <n v="76.47"/>
    <n v="83.53"/>
    <n v="0.52210000000000001"/>
    <n v="0.47789999999999999"/>
    <n v="174"/>
    <n v="0.2346"/>
    <x v="1"/>
    <x v="1"/>
  </r>
  <r>
    <s v="ORD-00020"/>
    <x v="19"/>
    <x v="0"/>
    <x v="0"/>
    <x v="2"/>
    <x v="0"/>
    <x v="1"/>
    <x v="1"/>
    <x v="0"/>
    <x v="4"/>
    <x v="2"/>
    <x v="4"/>
    <n v="600"/>
    <n v="540"/>
    <n v="372.32"/>
    <n v="167.68"/>
    <n v="0.3105"/>
    <n v="0.6895"/>
    <n v="652"/>
    <n v="0.83079999999999998"/>
    <x v="0"/>
    <x v="5"/>
  </r>
  <r>
    <s v="ORD-00021"/>
    <x v="20"/>
    <x v="2"/>
    <x v="1"/>
    <x v="3"/>
    <x v="2"/>
    <x v="0"/>
    <x v="0"/>
    <x v="0"/>
    <x v="2"/>
    <x v="9"/>
    <x v="2"/>
    <n v="160"/>
    <n v="147.19999999999999"/>
    <n v="95.42"/>
    <n v="51.78"/>
    <n v="0.3518"/>
    <n v="0.6482"/>
    <n v="247"/>
    <n v="0.17519999999999999"/>
    <x v="1"/>
    <x v="1"/>
  </r>
  <r>
    <s v="ORD-00022"/>
    <x v="21"/>
    <x v="2"/>
    <x v="1"/>
    <x v="3"/>
    <x v="0"/>
    <x v="1"/>
    <x v="0"/>
    <x v="0"/>
    <x v="1"/>
    <x v="3"/>
    <x v="3"/>
    <n v="750"/>
    <n v="750"/>
    <n v="568.4"/>
    <n v="181.6"/>
    <n v="0.24210000000000001"/>
    <n v="0.75790000000000002"/>
    <n v="1136"/>
    <n v="0.9375"/>
    <x v="0"/>
    <x v="2"/>
  </r>
  <r>
    <s v="ORD-00023"/>
    <x v="22"/>
    <x v="2"/>
    <x v="1"/>
    <x v="1"/>
    <x v="3"/>
    <x v="3"/>
    <x v="0"/>
    <x v="1"/>
    <x v="2"/>
    <x v="4"/>
    <x v="0"/>
    <n v="80"/>
    <n v="77.599999999999994"/>
    <n v="41.12"/>
    <n v="36.479999999999997"/>
    <n v="0.47010000000000002"/>
    <n v="0.52990000000000004"/>
    <n v="83"/>
    <n v="8.2100000000000006E-2"/>
    <x v="0"/>
    <x v="6"/>
  </r>
  <r>
    <s v="ORD-00024"/>
    <x v="23"/>
    <x v="4"/>
    <x v="2"/>
    <x v="1"/>
    <x v="4"/>
    <x v="1"/>
    <x v="1"/>
    <x v="0"/>
    <x v="3"/>
    <x v="2"/>
    <x v="5"/>
    <n v="1200"/>
    <n v="1140"/>
    <n v="667.1"/>
    <n v="472.9"/>
    <n v="0.4148"/>
    <n v="0.58520000000000005"/>
    <n v="1411"/>
    <n v="1.2062999999999999"/>
    <x v="1"/>
    <x v="1"/>
  </r>
  <r>
    <s v="ORD-00025"/>
    <x v="24"/>
    <x v="0"/>
    <x v="0"/>
    <x v="0"/>
    <x v="0"/>
    <x v="1"/>
    <x v="1"/>
    <x v="0"/>
    <x v="0"/>
    <x v="1"/>
    <x v="3"/>
    <n v="100"/>
    <n v="100"/>
    <n v="76.290000000000006"/>
    <n v="23.71"/>
    <n v="0.23710000000000001"/>
    <n v="0.76290000000000002"/>
    <n v="135"/>
    <n v="0.1389"/>
    <x v="1"/>
    <x v="1"/>
  </r>
  <r>
    <s v="ORD-00026"/>
    <x v="25"/>
    <x v="2"/>
    <x v="1"/>
    <x v="4"/>
    <x v="0"/>
    <x v="3"/>
    <x v="0"/>
    <x v="1"/>
    <x v="4"/>
    <x v="2"/>
    <x v="5"/>
    <n v="600"/>
    <n v="570"/>
    <n v="261.08999999999997"/>
    <n v="308.91000000000003"/>
    <n v="0.54190000000000005"/>
    <n v="0.45810000000000001"/>
    <n v="587"/>
    <n v="0.72340000000000004"/>
    <x v="1"/>
    <x v="1"/>
  </r>
  <r>
    <s v="ORD-00027"/>
    <x v="26"/>
    <x v="3"/>
    <x v="2"/>
    <x v="2"/>
    <x v="2"/>
    <x v="1"/>
    <x v="1"/>
    <x v="0"/>
    <x v="1"/>
    <x v="8"/>
    <x v="3"/>
    <n v="500"/>
    <n v="500"/>
    <n v="363.28"/>
    <n v="136.72"/>
    <n v="0.27339999999999998"/>
    <n v="0.72660000000000002"/>
    <n v="537"/>
    <n v="0.76919999999999999"/>
    <x v="1"/>
    <x v="1"/>
  </r>
  <r>
    <s v="ORD-00028"/>
    <x v="27"/>
    <x v="0"/>
    <x v="0"/>
    <x v="0"/>
    <x v="0"/>
    <x v="1"/>
    <x v="1"/>
    <x v="0"/>
    <x v="3"/>
    <x v="1"/>
    <x v="4"/>
    <n v="150"/>
    <n v="135"/>
    <n v="93.09"/>
    <n v="41.91"/>
    <n v="0.31040000000000001"/>
    <n v="0.68959999999999999"/>
    <n v="221"/>
    <n v="0.1875"/>
    <x v="1"/>
    <x v="1"/>
  </r>
  <r>
    <s v="ORD-00029"/>
    <x v="28"/>
    <x v="4"/>
    <x v="2"/>
    <x v="4"/>
    <x v="4"/>
    <x v="3"/>
    <x v="0"/>
    <x v="0"/>
    <x v="0"/>
    <x v="2"/>
    <x v="1"/>
    <n v="800"/>
    <n v="680"/>
    <n v="431.09"/>
    <n v="248.91"/>
    <n v="0.36599999999999999"/>
    <n v="0.63400000000000001"/>
    <n v="723"/>
    <n v="0.8629"/>
    <x v="0"/>
    <x v="0"/>
  </r>
  <r>
    <s v="ORD-00030"/>
    <x v="29"/>
    <x v="4"/>
    <x v="2"/>
    <x v="0"/>
    <x v="4"/>
    <x v="1"/>
    <x v="0"/>
    <x v="0"/>
    <x v="1"/>
    <x v="7"/>
    <x v="5"/>
    <n v="300"/>
    <n v="285"/>
    <n v="173.06"/>
    <n v="111.94"/>
    <n v="0.39279999999999998"/>
    <n v="0.60719999999999996"/>
    <n v="248"/>
    <n v="0.39579999999999999"/>
    <x v="1"/>
    <x v="1"/>
  </r>
  <r>
    <s v="ORD-00031"/>
    <x v="30"/>
    <x v="4"/>
    <x v="2"/>
    <x v="0"/>
    <x v="4"/>
    <x v="3"/>
    <x v="1"/>
    <x v="0"/>
    <x v="1"/>
    <x v="7"/>
    <x v="3"/>
    <n v="300"/>
    <n v="300"/>
    <n v="183.94"/>
    <n v="116.06"/>
    <n v="0.38690000000000002"/>
    <n v="0.61309999999999998"/>
    <n v="319"/>
    <n v="0.5"/>
    <x v="1"/>
    <x v="1"/>
  </r>
  <r>
    <s v="ORD-00032"/>
    <x v="7"/>
    <x v="1"/>
    <x v="0"/>
    <x v="2"/>
    <x v="0"/>
    <x v="3"/>
    <x v="0"/>
    <x v="0"/>
    <x v="1"/>
    <x v="2"/>
    <x v="4"/>
    <n v="1000"/>
    <n v="900"/>
    <n v="581.55999999999995"/>
    <n v="318.44"/>
    <n v="0.3538"/>
    <n v="0.6462"/>
    <n v="1388"/>
    <n v="1.3846000000000001"/>
    <x v="1"/>
    <x v="1"/>
  </r>
  <r>
    <s v="ORD-00033"/>
    <x v="31"/>
    <x v="4"/>
    <x v="2"/>
    <x v="0"/>
    <x v="4"/>
    <x v="0"/>
    <x v="0"/>
    <x v="0"/>
    <x v="1"/>
    <x v="5"/>
    <x v="3"/>
    <n v="3750"/>
    <n v="3750"/>
    <n v="2170.9899999999998"/>
    <n v="1579.01"/>
    <n v="0.42109999999999997"/>
    <n v="0.57889999999999997"/>
    <n v="3936"/>
    <n v="5.9523999999999999"/>
    <x v="0"/>
    <x v="2"/>
  </r>
  <r>
    <s v="ORD-00034"/>
    <x v="32"/>
    <x v="5"/>
    <x v="3"/>
    <x v="3"/>
    <x v="4"/>
    <x v="2"/>
    <x v="1"/>
    <x v="0"/>
    <x v="2"/>
    <x v="6"/>
    <x v="4"/>
    <n v="1000"/>
    <n v="900"/>
    <n v="502.38"/>
    <n v="397.62"/>
    <n v="0.44180000000000003"/>
    <n v="0.55820000000000003"/>
    <n v="966"/>
    <n v="1.0044999999999999"/>
    <x v="1"/>
    <x v="1"/>
  </r>
  <r>
    <s v="ORD-00035"/>
    <x v="33"/>
    <x v="5"/>
    <x v="3"/>
    <x v="4"/>
    <x v="1"/>
    <x v="0"/>
    <x v="1"/>
    <x v="0"/>
    <x v="0"/>
    <x v="2"/>
    <x v="5"/>
    <n v="800"/>
    <n v="760"/>
    <n v="500.28"/>
    <n v="259.72000000000003"/>
    <n v="0.3417"/>
    <n v="0.6583"/>
    <n v="818"/>
    <n v="1.0133000000000001"/>
    <x v="1"/>
    <x v="1"/>
  </r>
  <r>
    <s v="ORD-00036"/>
    <x v="34"/>
    <x v="3"/>
    <x v="2"/>
    <x v="1"/>
    <x v="5"/>
    <x v="0"/>
    <x v="0"/>
    <x v="0"/>
    <x v="4"/>
    <x v="0"/>
    <x v="3"/>
    <n v="900"/>
    <n v="900"/>
    <n v="496.95"/>
    <n v="403.05"/>
    <n v="0.44779999999999998"/>
    <n v="0.55220000000000002"/>
    <n v="1072"/>
    <n v="0.89290000000000003"/>
    <x v="1"/>
    <x v="1"/>
  </r>
  <r>
    <s v="ORD-00037"/>
    <x v="35"/>
    <x v="0"/>
    <x v="0"/>
    <x v="3"/>
    <x v="4"/>
    <x v="1"/>
    <x v="1"/>
    <x v="0"/>
    <x v="5"/>
    <x v="0"/>
    <x v="1"/>
    <n v="300"/>
    <n v="255"/>
    <n v="168.64"/>
    <n v="86.36"/>
    <n v="0.3387"/>
    <n v="0.6613"/>
    <n v="339"/>
    <n v="0.30359999999999998"/>
    <x v="0"/>
    <x v="7"/>
  </r>
  <r>
    <s v="ORD-00038"/>
    <x v="36"/>
    <x v="4"/>
    <x v="2"/>
    <x v="4"/>
    <x v="4"/>
    <x v="2"/>
    <x v="0"/>
    <x v="0"/>
    <x v="2"/>
    <x v="6"/>
    <x v="0"/>
    <n v="1000"/>
    <n v="970"/>
    <n v="652.05999999999995"/>
    <n v="317.94"/>
    <n v="0.32779999999999998"/>
    <n v="0.67220000000000002"/>
    <n v="1131"/>
    <n v="1.2932999999999999"/>
    <x v="0"/>
    <x v="6"/>
  </r>
  <r>
    <s v="ORD-00039"/>
    <x v="37"/>
    <x v="3"/>
    <x v="2"/>
    <x v="0"/>
    <x v="4"/>
    <x v="3"/>
    <x v="0"/>
    <x v="1"/>
    <x v="7"/>
    <x v="8"/>
    <x v="3"/>
    <n v="700"/>
    <n v="700"/>
    <n v="500.11"/>
    <n v="199.89"/>
    <n v="0.28560000000000002"/>
    <n v="0.71440000000000003"/>
    <n v="932"/>
    <n v="1.0417000000000001"/>
    <x v="1"/>
    <x v="1"/>
  </r>
  <r>
    <s v="ORD-00040"/>
    <x v="38"/>
    <x v="2"/>
    <x v="1"/>
    <x v="0"/>
    <x v="1"/>
    <x v="0"/>
    <x v="1"/>
    <x v="0"/>
    <x v="4"/>
    <x v="2"/>
    <x v="5"/>
    <n v="600"/>
    <n v="570"/>
    <n v="303.73"/>
    <n v="266.27"/>
    <n v="0.46710000000000002"/>
    <n v="0.53290000000000004"/>
    <n v="266"/>
    <n v="0.95"/>
    <x v="1"/>
    <x v="1"/>
  </r>
  <r>
    <s v="ORD-00041"/>
    <x v="39"/>
    <x v="1"/>
    <x v="0"/>
    <x v="2"/>
    <x v="3"/>
    <x v="3"/>
    <x v="0"/>
    <x v="0"/>
    <x v="0"/>
    <x v="1"/>
    <x v="3"/>
    <n v="100"/>
    <n v="100"/>
    <n v="70.510000000000005"/>
    <n v="29.49"/>
    <n v="0.2949"/>
    <n v="0.70509999999999995"/>
    <n v="152"/>
    <n v="0.12820000000000001"/>
    <x v="1"/>
    <x v="1"/>
  </r>
  <r>
    <s v="ORD-00042"/>
    <x v="40"/>
    <x v="1"/>
    <x v="0"/>
    <x v="3"/>
    <x v="1"/>
    <x v="0"/>
    <x v="1"/>
    <x v="1"/>
    <x v="8"/>
    <x v="3"/>
    <x v="4"/>
    <n v="1350"/>
    <n v="1215"/>
    <n v="838.45"/>
    <n v="376.55"/>
    <n v="0.30990000000000001"/>
    <n v="0.69010000000000005"/>
    <n v="1062"/>
    <n v="1.2656000000000001"/>
    <x v="1"/>
    <x v="1"/>
  </r>
  <r>
    <s v="ORD-00043"/>
    <x v="41"/>
    <x v="0"/>
    <x v="0"/>
    <x v="2"/>
    <x v="5"/>
    <x v="0"/>
    <x v="0"/>
    <x v="0"/>
    <x v="5"/>
    <x v="6"/>
    <x v="4"/>
    <n v="500"/>
    <n v="450"/>
    <n v="275.97000000000003"/>
    <n v="174.03"/>
    <n v="0.38669999999999999"/>
    <n v="0.61329999999999996"/>
    <n v="869"/>
    <n v="0.57689999999999997"/>
    <x v="1"/>
    <x v="1"/>
  </r>
  <r>
    <s v="ORD-00044"/>
    <x v="42"/>
    <x v="1"/>
    <x v="0"/>
    <x v="3"/>
    <x v="5"/>
    <x v="3"/>
    <x v="0"/>
    <x v="0"/>
    <x v="4"/>
    <x v="1"/>
    <x v="4"/>
    <n v="75"/>
    <n v="67.5"/>
    <n v="40.76"/>
    <n v="26.74"/>
    <n v="0.39610000000000001"/>
    <n v="0.60389999999999999"/>
    <n v="58"/>
    <n v="7.0300000000000001E-2"/>
    <x v="0"/>
    <x v="5"/>
  </r>
  <r>
    <s v="ORD-00045"/>
    <x v="43"/>
    <x v="5"/>
    <x v="3"/>
    <x v="2"/>
    <x v="1"/>
    <x v="1"/>
    <x v="0"/>
    <x v="0"/>
    <x v="0"/>
    <x v="2"/>
    <x v="3"/>
    <n v="800"/>
    <n v="800"/>
    <n v="440.7"/>
    <n v="359.3"/>
    <n v="0.4491"/>
    <n v="0.55089999999999995"/>
    <n v="478"/>
    <n v="1.0989"/>
    <x v="1"/>
    <x v="1"/>
  </r>
  <r>
    <s v="ORD-00046"/>
    <x v="44"/>
    <x v="1"/>
    <x v="0"/>
    <x v="3"/>
    <x v="0"/>
    <x v="0"/>
    <x v="1"/>
    <x v="0"/>
    <x v="4"/>
    <x v="9"/>
    <x v="2"/>
    <n v="240"/>
    <n v="220.8"/>
    <n v="119.71"/>
    <n v="101.09"/>
    <n v="0.45779999999999998"/>
    <n v="0.54220000000000002"/>
    <n v="299"/>
    <n v="0.26290000000000002"/>
    <x v="1"/>
    <x v="1"/>
  </r>
  <r>
    <s v="ORD-00047"/>
    <x v="45"/>
    <x v="3"/>
    <x v="2"/>
    <x v="2"/>
    <x v="3"/>
    <x v="0"/>
    <x v="0"/>
    <x v="0"/>
    <x v="1"/>
    <x v="3"/>
    <x v="5"/>
    <n v="750"/>
    <n v="712.5"/>
    <n v="425.6"/>
    <n v="286.89999999999998"/>
    <n v="0.4027"/>
    <n v="0.59730000000000005"/>
    <n v="530"/>
    <n v="1.0447"/>
    <x v="1"/>
    <x v="1"/>
  </r>
  <r>
    <s v="ORD-00048"/>
    <x v="46"/>
    <x v="3"/>
    <x v="2"/>
    <x v="2"/>
    <x v="0"/>
    <x v="1"/>
    <x v="0"/>
    <x v="1"/>
    <x v="0"/>
    <x v="2"/>
    <x v="4"/>
    <n v="800"/>
    <n v="720"/>
    <n v="434.47"/>
    <n v="285.52999999999997"/>
    <n v="0.39660000000000001"/>
    <n v="0.60340000000000005"/>
    <n v="565"/>
    <n v="1.1076999999999999"/>
    <x v="0"/>
    <x v="0"/>
  </r>
  <r>
    <s v="ORD-00049"/>
    <x v="47"/>
    <x v="3"/>
    <x v="2"/>
    <x v="2"/>
    <x v="1"/>
    <x v="1"/>
    <x v="1"/>
    <x v="0"/>
    <x v="4"/>
    <x v="9"/>
    <x v="2"/>
    <n v="240"/>
    <n v="220.8"/>
    <n v="140.94"/>
    <n v="79.86"/>
    <n v="0.36170000000000002"/>
    <n v="0.63829999999999998"/>
    <n v="234"/>
    <n v="0.28310000000000002"/>
    <x v="0"/>
    <x v="5"/>
  </r>
  <r>
    <s v="ORD-00050"/>
    <x v="48"/>
    <x v="4"/>
    <x v="2"/>
    <x v="4"/>
    <x v="5"/>
    <x v="1"/>
    <x v="0"/>
    <x v="0"/>
    <x v="3"/>
    <x v="4"/>
    <x v="4"/>
    <n v="240"/>
    <n v="216"/>
    <n v="159.83000000000001"/>
    <n v="56.17"/>
    <n v="0.26"/>
    <n v="0.74"/>
    <n v="185"/>
    <n v="0.28799999999999998"/>
    <x v="1"/>
    <x v="1"/>
  </r>
  <r>
    <s v="ORD-00051"/>
    <x v="49"/>
    <x v="2"/>
    <x v="1"/>
    <x v="1"/>
    <x v="1"/>
    <x v="1"/>
    <x v="0"/>
    <x v="0"/>
    <x v="6"/>
    <x v="9"/>
    <x v="2"/>
    <n v="640"/>
    <n v="588.79999999999995"/>
    <n v="440.7"/>
    <n v="148.1"/>
    <n v="0.2515"/>
    <n v="0.74850000000000005"/>
    <n v="681"/>
    <n v="0.62309999999999999"/>
    <x v="1"/>
    <x v="1"/>
  </r>
  <r>
    <s v="ORD-00052"/>
    <x v="50"/>
    <x v="5"/>
    <x v="3"/>
    <x v="4"/>
    <x v="4"/>
    <x v="2"/>
    <x v="0"/>
    <x v="0"/>
    <x v="1"/>
    <x v="9"/>
    <x v="0"/>
    <n v="400"/>
    <n v="388"/>
    <n v="249.05"/>
    <n v="138.94999999999999"/>
    <n v="0.35809999999999997"/>
    <n v="0.64190000000000003"/>
    <n v="302"/>
    <n v="0.51729999999999998"/>
    <x v="1"/>
    <x v="1"/>
  </r>
  <r>
    <s v="ORD-00053"/>
    <x v="51"/>
    <x v="1"/>
    <x v="0"/>
    <x v="2"/>
    <x v="0"/>
    <x v="2"/>
    <x v="0"/>
    <x v="0"/>
    <x v="1"/>
    <x v="6"/>
    <x v="3"/>
    <n v="2500"/>
    <n v="2500"/>
    <n v="1746.29"/>
    <n v="753.71"/>
    <n v="0.30149999999999999"/>
    <n v="0.69850000000000001"/>
    <n v="1492"/>
    <n v="3.4340999999999999"/>
    <x v="1"/>
    <x v="1"/>
  </r>
  <r>
    <s v="ORD-00054"/>
    <x v="52"/>
    <x v="0"/>
    <x v="0"/>
    <x v="0"/>
    <x v="4"/>
    <x v="3"/>
    <x v="1"/>
    <x v="0"/>
    <x v="4"/>
    <x v="7"/>
    <x v="2"/>
    <n v="180"/>
    <n v="165.6"/>
    <n v="105.58"/>
    <n v="60.02"/>
    <n v="0.3624"/>
    <n v="0.63759999999999994"/>
    <n v="77"/>
    <n v="0.23"/>
    <x v="0"/>
    <x v="5"/>
  </r>
  <r>
    <s v="ORD-00055"/>
    <x v="53"/>
    <x v="2"/>
    <x v="1"/>
    <x v="4"/>
    <x v="5"/>
    <x v="0"/>
    <x v="1"/>
    <x v="0"/>
    <x v="1"/>
    <x v="8"/>
    <x v="0"/>
    <n v="500"/>
    <n v="485"/>
    <n v="281.92"/>
    <n v="203.08"/>
    <n v="0.41870000000000002"/>
    <n v="0.58130000000000004"/>
    <n v="325"/>
    <n v="0.61550000000000005"/>
    <x v="1"/>
    <x v="1"/>
  </r>
  <r>
    <s v="ORD-00056"/>
    <x v="54"/>
    <x v="3"/>
    <x v="2"/>
    <x v="2"/>
    <x v="0"/>
    <x v="0"/>
    <x v="1"/>
    <x v="0"/>
    <x v="3"/>
    <x v="3"/>
    <x v="2"/>
    <n v="900"/>
    <n v="828"/>
    <n v="500.14"/>
    <n v="327.86"/>
    <n v="0.39600000000000002"/>
    <n v="0.60399999999999998"/>
    <n v="975"/>
    <n v="1.0615000000000001"/>
    <x v="1"/>
    <x v="1"/>
  </r>
  <r>
    <s v="ORD-00057"/>
    <x v="55"/>
    <x v="2"/>
    <x v="1"/>
    <x v="4"/>
    <x v="5"/>
    <x v="1"/>
    <x v="0"/>
    <x v="1"/>
    <x v="7"/>
    <x v="6"/>
    <x v="5"/>
    <n v="3500"/>
    <n v="3325"/>
    <n v="2152.04"/>
    <n v="1172.96"/>
    <n v="0.3528"/>
    <n v="0.6472"/>
    <n v="3877"/>
    <n v="3.9582999999999999"/>
    <x v="0"/>
    <x v="4"/>
  </r>
  <r>
    <s v="ORD-00058"/>
    <x v="56"/>
    <x v="2"/>
    <x v="1"/>
    <x v="2"/>
    <x v="4"/>
    <x v="0"/>
    <x v="0"/>
    <x v="1"/>
    <x v="4"/>
    <x v="1"/>
    <x v="3"/>
    <n v="75"/>
    <n v="75"/>
    <n v="58.25"/>
    <n v="16.75"/>
    <n v="0.2233"/>
    <n v="0.77669999999999995"/>
    <n v="90"/>
    <n v="0.11"/>
    <x v="1"/>
    <x v="1"/>
  </r>
  <r>
    <s v="ORD-00059"/>
    <x v="57"/>
    <x v="3"/>
    <x v="2"/>
    <x v="0"/>
    <x v="4"/>
    <x v="0"/>
    <x v="0"/>
    <x v="0"/>
    <x v="5"/>
    <x v="6"/>
    <x v="5"/>
    <n v="500"/>
    <n v="475"/>
    <n v="315.58999999999997"/>
    <n v="159.41"/>
    <n v="0.33560000000000001"/>
    <n v="0.66439999999999999"/>
    <n v="496"/>
    <n v="0.65969999999999995"/>
    <x v="1"/>
    <x v="1"/>
  </r>
  <r>
    <s v="ORD-00060"/>
    <x v="58"/>
    <x v="2"/>
    <x v="1"/>
    <x v="2"/>
    <x v="4"/>
    <x v="0"/>
    <x v="1"/>
    <x v="0"/>
    <x v="4"/>
    <x v="5"/>
    <x v="5"/>
    <n v="2250"/>
    <n v="2137.5"/>
    <n v="1457.07"/>
    <n v="680.43"/>
    <n v="0.31830000000000003"/>
    <n v="0.68169999999999997"/>
    <n v="1668"/>
    <n v="3.2885"/>
    <x v="1"/>
    <x v="1"/>
  </r>
  <r>
    <s v="ORD-00061"/>
    <x v="59"/>
    <x v="4"/>
    <x v="2"/>
    <x v="3"/>
    <x v="3"/>
    <x v="1"/>
    <x v="0"/>
    <x v="0"/>
    <x v="1"/>
    <x v="8"/>
    <x v="5"/>
    <n v="500"/>
    <n v="475"/>
    <n v="389"/>
    <n v="86"/>
    <n v="0.18110000000000001"/>
    <n v="0.81889999999999996"/>
    <n v="504"/>
    <n v="0.49480000000000002"/>
    <x v="0"/>
    <x v="2"/>
  </r>
  <r>
    <s v="ORD-00062"/>
    <x v="60"/>
    <x v="2"/>
    <x v="1"/>
    <x v="0"/>
    <x v="3"/>
    <x v="0"/>
    <x v="0"/>
    <x v="0"/>
    <x v="0"/>
    <x v="5"/>
    <x v="2"/>
    <n v="3000"/>
    <n v="2760"/>
    <n v="1934.15"/>
    <n v="825.85"/>
    <n v="0.29920000000000002"/>
    <n v="0.70079999999999998"/>
    <n v="2058"/>
    <n v="4.1071"/>
    <x v="1"/>
    <x v="1"/>
  </r>
  <r>
    <s v="ORD-00063"/>
    <x v="61"/>
    <x v="4"/>
    <x v="2"/>
    <x v="0"/>
    <x v="3"/>
    <x v="1"/>
    <x v="0"/>
    <x v="0"/>
    <x v="1"/>
    <x v="1"/>
    <x v="2"/>
    <n v="125"/>
    <n v="115"/>
    <n v="74.819999999999993"/>
    <n v="40.18"/>
    <n v="0.34939999999999999"/>
    <n v="0.65059999999999996"/>
    <n v="91"/>
    <n v="0.15970000000000001"/>
    <x v="1"/>
    <x v="1"/>
  </r>
  <r>
    <s v="ORD-00064"/>
    <x v="62"/>
    <x v="3"/>
    <x v="2"/>
    <x v="0"/>
    <x v="1"/>
    <x v="0"/>
    <x v="1"/>
    <x v="0"/>
    <x v="5"/>
    <x v="4"/>
    <x v="5"/>
    <n v="40"/>
    <n v="38"/>
    <n v="28.08"/>
    <n v="9.92"/>
    <n v="0.2611"/>
    <n v="0.7389"/>
    <n v="30"/>
    <n v="5.28E-2"/>
    <x v="1"/>
    <x v="1"/>
  </r>
  <r>
    <s v="ORD-00065"/>
    <x v="63"/>
    <x v="4"/>
    <x v="2"/>
    <x v="1"/>
    <x v="4"/>
    <x v="1"/>
    <x v="1"/>
    <x v="0"/>
    <x v="0"/>
    <x v="3"/>
    <x v="4"/>
    <n v="600"/>
    <n v="540"/>
    <n v="363.84"/>
    <n v="176.16"/>
    <n v="0.32619999999999999"/>
    <n v="0.67379999999999995"/>
    <n v="361"/>
    <n v="0.53569999999999995"/>
    <x v="1"/>
    <x v="1"/>
  </r>
  <r>
    <s v="ORD-00066"/>
    <x v="64"/>
    <x v="5"/>
    <x v="3"/>
    <x v="1"/>
    <x v="3"/>
    <x v="3"/>
    <x v="1"/>
    <x v="1"/>
    <x v="4"/>
    <x v="3"/>
    <x v="3"/>
    <n v="450"/>
    <n v="450"/>
    <n v="313.39999999999998"/>
    <n v="136.6"/>
    <n v="0.30359999999999998"/>
    <n v="0.69640000000000002"/>
    <n v="526"/>
    <n v="0.44640000000000002"/>
    <x v="1"/>
    <x v="1"/>
  </r>
  <r>
    <s v="ORD-00067"/>
    <x v="65"/>
    <x v="1"/>
    <x v="0"/>
    <x v="1"/>
    <x v="1"/>
    <x v="0"/>
    <x v="0"/>
    <x v="1"/>
    <x v="2"/>
    <x v="2"/>
    <x v="5"/>
    <n v="400"/>
    <n v="380"/>
    <n v="264.33999999999997"/>
    <n v="115.66"/>
    <n v="0.3044"/>
    <n v="0.6956"/>
    <n v="329"/>
    <n v="0.35189999999999999"/>
    <x v="0"/>
    <x v="6"/>
  </r>
  <r>
    <s v="ORD-00068"/>
    <x v="66"/>
    <x v="1"/>
    <x v="0"/>
    <x v="4"/>
    <x v="5"/>
    <x v="3"/>
    <x v="1"/>
    <x v="0"/>
    <x v="2"/>
    <x v="9"/>
    <x v="3"/>
    <n v="160"/>
    <n v="160"/>
    <n v="85.04"/>
    <n v="74.959999999999994"/>
    <n v="0.46850000000000003"/>
    <n v="0.53149999999999997"/>
    <n v="171"/>
    <n v="0.20300000000000001"/>
    <x v="0"/>
    <x v="6"/>
  </r>
  <r>
    <s v="ORD-00069"/>
    <x v="67"/>
    <x v="5"/>
    <x v="3"/>
    <x v="2"/>
    <x v="2"/>
    <x v="1"/>
    <x v="1"/>
    <x v="0"/>
    <x v="1"/>
    <x v="3"/>
    <x v="5"/>
    <n v="750"/>
    <n v="712.5"/>
    <n v="514.70000000000005"/>
    <n v="197.8"/>
    <n v="0.27760000000000001"/>
    <n v="0.72240000000000004"/>
    <n v="416"/>
    <n v="0.91349999999999998"/>
    <x v="1"/>
    <x v="1"/>
  </r>
  <r>
    <s v="ORD-00070"/>
    <x v="1"/>
    <x v="0"/>
    <x v="0"/>
    <x v="1"/>
    <x v="4"/>
    <x v="2"/>
    <x v="1"/>
    <x v="1"/>
    <x v="2"/>
    <x v="8"/>
    <x v="0"/>
    <n v="200"/>
    <n v="194"/>
    <n v="123.96"/>
    <n v="70.040000000000006"/>
    <n v="0.36099999999999999"/>
    <n v="0.63900000000000001"/>
    <n v="153"/>
    <n v="0.20530000000000001"/>
    <x v="1"/>
    <x v="1"/>
  </r>
  <r>
    <s v="ORD-00071"/>
    <x v="68"/>
    <x v="1"/>
    <x v="0"/>
    <x v="1"/>
    <x v="3"/>
    <x v="1"/>
    <x v="0"/>
    <x v="0"/>
    <x v="0"/>
    <x v="2"/>
    <x v="4"/>
    <n v="800"/>
    <n v="720"/>
    <n v="412.62"/>
    <n v="307.38"/>
    <n v="0.4269"/>
    <n v="0.57310000000000005"/>
    <n v="742"/>
    <n v="0.8"/>
    <x v="1"/>
    <x v="1"/>
  </r>
  <r>
    <s v="ORD-00072"/>
    <x v="69"/>
    <x v="0"/>
    <x v="0"/>
    <x v="4"/>
    <x v="3"/>
    <x v="0"/>
    <x v="1"/>
    <x v="0"/>
    <x v="7"/>
    <x v="0"/>
    <x v="0"/>
    <n v="2100"/>
    <n v="2037"/>
    <n v="1220.01"/>
    <n v="816.99"/>
    <n v="0.40110000000000001"/>
    <n v="0.59889999999999999"/>
    <n v="2110"/>
    <n v="2.7160000000000002"/>
    <x v="1"/>
    <x v="1"/>
  </r>
  <r>
    <s v="ORD-00073"/>
    <x v="70"/>
    <x v="2"/>
    <x v="1"/>
    <x v="4"/>
    <x v="3"/>
    <x v="3"/>
    <x v="1"/>
    <x v="1"/>
    <x v="1"/>
    <x v="4"/>
    <x v="5"/>
    <n v="200"/>
    <n v="190"/>
    <n v="116.45"/>
    <n v="73.55"/>
    <n v="0.3871"/>
    <n v="0.6129"/>
    <n v="224"/>
    <n v="0.25330000000000003"/>
    <x v="1"/>
    <x v="1"/>
  </r>
  <r>
    <s v="ORD-00074"/>
    <x v="71"/>
    <x v="2"/>
    <x v="1"/>
    <x v="0"/>
    <x v="5"/>
    <x v="3"/>
    <x v="0"/>
    <x v="0"/>
    <x v="4"/>
    <x v="9"/>
    <x v="5"/>
    <n v="240"/>
    <n v="228"/>
    <n v="141.49"/>
    <n v="86.51"/>
    <n v="0.37940000000000002"/>
    <n v="0.62060000000000004"/>
    <n v="239"/>
    <n v="0.38"/>
    <x v="1"/>
    <x v="1"/>
  </r>
  <r>
    <s v="ORD-00075"/>
    <x v="72"/>
    <x v="2"/>
    <x v="1"/>
    <x v="4"/>
    <x v="0"/>
    <x v="2"/>
    <x v="0"/>
    <x v="1"/>
    <x v="4"/>
    <x v="9"/>
    <x v="3"/>
    <n v="240"/>
    <n v="240"/>
    <n v="143.91"/>
    <n v="96.09"/>
    <n v="0.40039999999999998"/>
    <n v="0.59960000000000002"/>
    <n v="255"/>
    <n v="0.28570000000000001"/>
    <x v="1"/>
    <x v="1"/>
  </r>
  <r>
    <s v="ORD-00076"/>
    <x v="73"/>
    <x v="3"/>
    <x v="2"/>
    <x v="4"/>
    <x v="2"/>
    <x v="2"/>
    <x v="0"/>
    <x v="1"/>
    <x v="0"/>
    <x v="7"/>
    <x v="5"/>
    <n v="240"/>
    <n v="228"/>
    <n v="128.53"/>
    <n v="99.47"/>
    <n v="0.43630000000000002"/>
    <n v="0.56369999999999998"/>
    <n v="344"/>
    <n v="0.2893"/>
    <x v="1"/>
    <x v="1"/>
  </r>
  <r>
    <s v="ORD-00077"/>
    <x v="74"/>
    <x v="3"/>
    <x v="2"/>
    <x v="4"/>
    <x v="2"/>
    <x v="1"/>
    <x v="1"/>
    <x v="0"/>
    <x v="2"/>
    <x v="4"/>
    <x v="3"/>
    <n v="80"/>
    <n v="80"/>
    <n v="45.39"/>
    <n v="34.61"/>
    <n v="0.43259999999999998"/>
    <n v="0.56740000000000002"/>
    <n v="84"/>
    <n v="0.10150000000000001"/>
    <x v="1"/>
    <x v="1"/>
  </r>
  <r>
    <s v="ORD-00078"/>
    <x v="75"/>
    <x v="1"/>
    <x v="0"/>
    <x v="2"/>
    <x v="3"/>
    <x v="1"/>
    <x v="1"/>
    <x v="0"/>
    <x v="0"/>
    <x v="3"/>
    <x v="5"/>
    <n v="600"/>
    <n v="570"/>
    <n v="293.19"/>
    <n v="276.81"/>
    <n v="0.48559999999999998"/>
    <n v="0.51439999999999997"/>
    <n v="450"/>
    <n v="0.78300000000000003"/>
    <x v="1"/>
    <x v="1"/>
  </r>
  <r>
    <s v="ORD-00079"/>
    <x v="76"/>
    <x v="1"/>
    <x v="0"/>
    <x v="0"/>
    <x v="4"/>
    <x v="2"/>
    <x v="1"/>
    <x v="1"/>
    <x v="0"/>
    <x v="8"/>
    <x v="2"/>
    <n v="400"/>
    <n v="368"/>
    <n v="256.68"/>
    <n v="111.32"/>
    <n v="0.30249999999999999"/>
    <n v="0.69750000000000001"/>
    <n v="397"/>
    <n v="0.61329999999999996"/>
    <x v="1"/>
    <x v="1"/>
  </r>
  <r>
    <s v="ORD-00080"/>
    <x v="77"/>
    <x v="5"/>
    <x v="3"/>
    <x v="4"/>
    <x v="3"/>
    <x v="0"/>
    <x v="0"/>
    <x v="0"/>
    <x v="4"/>
    <x v="4"/>
    <x v="3"/>
    <n v="120"/>
    <n v="120"/>
    <n v="74.66"/>
    <n v="45.34"/>
    <n v="0.37780000000000002"/>
    <n v="0.62219999999999998"/>
    <n v="141"/>
    <n v="0.16"/>
    <x v="1"/>
    <x v="1"/>
  </r>
  <r>
    <s v="ORD-00081"/>
    <x v="78"/>
    <x v="2"/>
    <x v="1"/>
    <x v="4"/>
    <x v="3"/>
    <x v="1"/>
    <x v="0"/>
    <x v="1"/>
    <x v="4"/>
    <x v="3"/>
    <x v="0"/>
    <n v="450"/>
    <n v="436.5"/>
    <n v="338.93"/>
    <n v="97.57"/>
    <n v="0.2235"/>
    <n v="0.77649999999999997"/>
    <n v="537"/>
    <n v="0.48499999999999999"/>
    <x v="1"/>
    <x v="1"/>
  </r>
  <r>
    <s v="ORD-00082"/>
    <x v="79"/>
    <x v="4"/>
    <x v="2"/>
    <x v="3"/>
    <x v="2"/>
    <x v="3"/>
    <x v="1"/>
    <x v="0"/>
    <x v="5"/>
    <x v="4"/>
    <x v="2"/>
    <n v="40"/>
    <n v="36.799999999999997"/>
    <n v="28.09"/>
    <n v="8.7100000000000009"/>
    <n v="0.23669999999999999"/>
    <n v="0.76329999999999998"/>
    <n v="39"/>
    <n v="4.5999999999999999E-2"/>
    <x v="1"/>
    <x v="1"/>
  </r>
  <r>
    <s v="ORD-00083"/>
    <x v="80"/>
    <x v="4"/>
    <x v="2"/>
    <x v="3"/>
    <x v="1"/>
    <x v="0"/>
    <x v="1"/>
    <x v="0"/>
    <x v="5"/>
    <x v="8"/>
    <x v="4"/>
    <n v="100"/>
    <n v="90"/>
    <n v="73.8"/>
    <n v="16.2"/>
    <n v="0.18"/>
    <n v="0.82"/>
    <n v="122"/>
    <n v="9.3799999999999994E-2"/>
    <x v="0"/>
    <x v="7"/>
  </r>
  <r>
    <s v="ORD-00084"/>
    <x v="81"/>
    <x v="3"/>
    <x v="2"/>
    <x v="3"/>
    <x v="4"/>
    <x v="3"/>
    <x v="1"/>
    <x v="0"/>
    <x v="1"/>
    <x v="7"/>
    <x v="1"/>
    <n v="300"/>
    <n v="255"/>
    <n v="176.22"/>
    <n v="78.78"/>
    <n v="0.30890000000000001"/>
    <n v="0.69110000000000005"/>
    <n v="310"/>
    <n v="0.30359999999999998"/>
    <x v="1"/>
    <x v="1"/>
  </r>
  <r>
    <s v="ORD-00085"/>
    <x v="82"/>
    <x v="5"/>
    <x v="3"/>
    <x v="1"/>
    <x v="4"/>
    <x v="1"/>
    <x v="0"/>
    <x v="1"/>
    <x v="0"/>
    <x v="7"/>
    <x v="3"/>
    <n v="240"/>
    <n v="240"/>
    <n v="178.57"/>
    <n v="61.43"/>
    <n v="0.25600000000000001"/>
    <n v="0.74399999999999999"/>
    <n v="186"/>
    <n v="0.22220000000000001"/>
    <x v="1"/>
    <x v="1"/>
  </r>
  <r>
    <s v="ORD-00086"/>
    <x v="83"/>
    <x v="2"/>
    <x v="1"/>
    <x v="3"/>
    <x v="5"/>
    <x v="2"/>
    <x v="1"/>
    <x v="0"/>
    <x v="0"/>
    <x v="1"/>
    <x v="3"/>
    <n v="100"/>
    <n v="100"/>
    <n v="73.8"/>
    <n v="26.2"/>
    <n v="0.26200000000000001"/>
    <n v="0.73799999999999999"/>
    <n v="133"/>
    <n v="0.1116"/>
    <x v="1"/>
    <x v="1"/>
  </r>
  <r>
    <s v="ORD-00087"/>
    <x v="84"/>
    <x v="0"/>
    <x v="0"/>
    <x v="4"/>
    <x v="5"/>
    <x v="1"/>
    <x v="0"/>
    <x v="0"/>
    <x v="0"/>
    <x v="6"/>
    <x v="1"/>
    <n v="2000"/>
    <n v="1700"/>
    <n v="1323.84"/>
    <n v="376.16"/>
    <n v="0.2213"/>
    <n v="0.77869999999999995"/>
    <n v="1481"/>
    <n v="2.0238"/>
    <x v="1"/>
    <x v="1"/>
  </r>
  <r>
    <s v="ORD-00088"/>
    <x v="83"/>
    <x v="1"/>
    <x v="0"/>
    <x v="2"/>
    <x v="0"/>
    <x v="0"/>
    <x v="1"/>
    <x v="0"/>
    <x v="5"/>
    <x v="6"/>
    <x v="3"/>
    <n v="500"/>
    <n v="500"/>
    <n v="278"/>
    <n v="222"/>
    <n v="0.44400000000000001"/>
    <n v="0.55600000000000005"/>
    <n v="394"/>
    <n v="0.68679999999999997"/>
    <x v="1"/>
    <x v="1"/>
  </r>
  <r>
    <s v="ORD-00089"/>
    <x v="85"/>
    <x v="2"/>
    <x v="1"/>
    <x v="3"/>
    <x v="1"/>
    <x v="1"/>
    <x v="0"/>
    <x v="0"/>
    <x v="1"/>
    <x v="6"/>
    <x v="0"/>
    <n v="2500"/>
    <n v="2425"/>
    <n v="1802.35"/>
    <n v="622.65"/>
    <n v="0.25679999999999997"/>
    <n v="0.74319999999999997"/>
    <n v="2595"/>
    <n v="2.5259999999999998"/>
    <x v="1"/>
    <x v="1"/>
  </r>
  <r>
    <s v="ORD-00090"/>
    <x v="86"/>
    <x v="3"/>
    <x v="2"/>
    <x v="0"/>
    <x v="4"/>
    <x v="0"/>
    <x v="0"/>
    <x v="0"/>
    <x v="0"/>
    <x v="8"/>
    <x v="3"/>
    <n v="400"/>
    <n v="400"/>
    <n v="264.57"/>
    <n v="135.43"/>
    <n v="0.33860000000000001"/>
    <n v="0.66139999999999999"/>
    <n v="266"/>
    <n v="0.55559999999999998"/>
    <x v="0"/>
    <x v="0"/>
  </r>
  <r>
    <s v="ORD-00091"/>
    <x v="87"/>
    <x v="4"/>
    <x v="2"/>
    <x v="3"/>
    <x v="2"/>
    <x v="2"/>
    <x v="0"/>
    <x v="0"/>
    <x v="2"/>
    <x v="6"/>
    <x v="5"/>
    <n v="1000"/>
    <n v="950"/>
    <n v="765.22"/>
    <n v="184.78"/>
    <n v="0.19450000000000001"/>
    <n v="0.80549999999999999"/>
    <n v="626"/>
    <n v="0.98960000000000004"/>
    <x v="1"/>
    <x v="1"/>
  </r>
  <r>
    <s v="ORD-00092"/>
    <x v="88"/>
    <x v="3"/>
    <x v="2"/>
    <x v="2"/>
    <x v="5"/>
    <x v="3"/>
    <x v="1"/>
    <x v="0"/>
    <x v="2"/>
    <x v="9"/>
    <x v="3"/>
    <n v="160"/>
    <n v="160"/>
    <n v="79.44"/>
    <n v="80.56"/>
    <n v="0.50349999999999995"/>
    <n v="0.4965"/>
    <n v="190"/>
    <n v="0.2462"/>
    <x v="1"/>
    <x v="1"/>
  </r>
  <r>
    <s v="ORD-00093"/>
    <x v="89"/>
    <x v="0"/>
    <x v="0"/>
    <x v="0"/>
    <x v="2"/>
    <x v="1"/>
    <x v="0"/>
    <x v="1"/>
    <x v="9"/>
    <x v="9"/>
    <x v="5"/>
    <n v="880"/>
    <n v="836"/>
    <n v="596.29999999999995"/>
    <n v="239.7"/>
    <n v="0.28670000000000001"/>
    <n v="0.71330000000000005"/>
    <n v="656"/>
    <n v="1.1611"/>
    <x v="1"/>
    <x v="1"/>
  </r>
  <r>
    <s v="ORD-00094"/>
    <x v="90"/>
    <x v="3"/>
    <x v="2"/>
    <x v="3"/>
    <x v="0"/>
    <x v="1"/>
    <x v="0"/>
    <x v="0"/>
    <x v="7"/>
    <x v="2"/>
    <x v="3"/>
    <n v="1400"/>
    <n v="1400"/>
    <n v="1090.8"/>
    <n v="309.2"/>
    <n v="0.22090000000000001"/>
    <n v="0.77910000000000001"/>
    <n v="1449"/>
    <n v="1.75"/>
    <x v="0"/>
    <x v="4"/>
  </r>
  <r>
    <s v="ORD-00095"/>
    <x v="65"/>
    <x v="2"/>
    <x v="1"/>
    <x v="1"/>
    <x v="3"/>
    <x v="3"/>
    <x v="0"/>
    <x v="0"/>
    <x v="5"/>
    <x v="7"/>
    <x v="2"/>
    <n v="60"/>
    <n v="55.2"/>
    <n v="37.25"/>
    <n v="17.95"/>
    <n v="0.32519999999999999"/>
    <n v="0.67479999999999996"/>
    <n v="59"/>
    <n v="5.11E-2"/>
    <x v="1"/>
    <x v="1"/>
  </r>
  <r>
    <s v="ORD-00096"/>
    <x v="91"/>
    <x v="1"/>
    <x v="0"/>
    <x v="1"/>
    <x v="4"/>
    <x v="2"/>
    <x v="1"/>
    <x v="1"/>
    <x v="4"/>
    <x v="5"/>
    <x v="3"/>
    <n v="2250"/>
    <n v="2250"/>
    <n v="1420.92"/>
    <n v="829.08"/>
    <n v="0.36849999999999999"/>
    <n v="0.63149999999999995"/>
    <n v="1686"/>
    <n v="2.2321"/>
    <x v="1"/>
    <x v="1"/>
  </r>
  <r>
    <s v="ORD-00097"/>
    <x v="92"/>
    <x v="1"/>
    <x v="0"/>
    <x v="2"/>
    <x v="1"/>
    <x v="1"/>
    <x v="1"/>
    <x v="0"/>
    <x v="0"/>
    <x v="0"/>
    <x v="3"/>
    <n v="1200"/>
    <n v="1200"/>
    <n v="656.6"/>
    <n v="543.4"/>
    <n v="0.45279999999999998"/>
    <n v="0.54720000000000002"/>
    <n v="1284"/>
    <n v="1.6484000000000001"/>
    <x v="1"/>
    <x v="1"/>
  </r>
  <r>
    <s v="ORD-00098"/>
    <x v="93"/>
    <x v="1"/>
    <x v="0"/>
    <x v="4"/>
    <x v="2"/>
    <x v="2"/>
    <x v="0"/>
    <x v="0"/>
    <x v="3"/>
    <x v="6"/>
    <x v="4"/>
    <n v="3000"/>
    <n v="2700"/>
    <n v="1562.72"/>
    <n v="1137.28"/>
    <n v="0.42120000000000002"/>
    <n v="0.57879999999999998"/>
    <n v="1990"/>
    <n v="3.2143000000000002"/>
    <x v="1"/>
    <x v="1"/>
  </r>
  <r>
    <s v="ORD-00099"/>
    <x v="94"/>
    <x v="4"/>
    <x v="2"/>
    <x v="2"/>
    <x v="1"/>
    <x v="1"/>
    <x v="0"/>
    <x v="0"/>
    <x v="3"/>
    <x v="1"/>
    <x v="2"/>
    <n v="150"/>
    <n v="138"/>
    <n v="66.489999999999995"/>
    <n v="71.510000000000005"/>
    <n v="0.51819999999999999"/>
    <n v="0.48180000000000001"/>
    <n v="144"/>
    <n v="0.21229999999999999"/>
    <x v="1"/>
    <x v="1"/>
  </r>
  <r>
    <s v="ORD-00100"/>
    <x v="95"/>
    <x v="1"/>
    <x v="0"/>
    <x v="2"/>
    <x v="2"/>
    <x v="3"/>
    <x v="0"/>
    <x v="0"/>
    <x v="0"/>
    <x v="1"/>
    <x v="5"/>
    <n v="100"/>
    <n v="95"/>
    <n v="64.19"/>
    <n v="30.81"/>
    <n v="0.32429999999999998"/>
    <n v="0.67569999999999997"/>
    <n v="146"/>
    <n v="0.1462"/>
    <x v="1"/>
    <x v="1"/>
  </r>
  <r>
    <s v="ORD-00101"/>
    <x v="96"/>
    <x v="3"/>
    <x v="2"/>
    <x v="0"/>
    <x v="0"/>
    <x v="2"/>
    <x v="1"/>
    <x v="0"/>
    <x v="0"/>
    <x v="7"/>
    <x v="2"/>
    <n v="240"/>
    <n v="220.8"/>
    <n v="117.95"/>
    <n v="102.85"/>
    <n v="0.46579999999999999"/>
    <n v="0.53420000000000001"/>
    <n v="261"/>
    <n v="0.3286"/>
    <x v="0"/>
    <x v="0"/>
  </r>
  <r>
    <s v="ORD-00102"/>
    <x v="97"/>
    <x v="1"/>
    <x v="0"/>
    <x v="0"/>
    <x v="4"/>
    <x v="1"/>
    <x v="0"/>
    <x v="0"/>
    <x v="2"/>
    <x v="0"/>
    <x v="5"/>
    <n v="600"/>
    <n v="570"/>
    <n v="321.72000000000003"/>
    <n v="248.28"/>
    <n v="0.43559999999999999"/>
    <n v="0.56440000000000001"/>
    <n v="339"/>
    <n v="0.79169999999999996"/>
    <x v="1"/>
    <x v="1"/>
  </r>
  <r>
    <s v="ORD-00103"/>
    <x v="98"/>
    <x v="2"/>
    <x v="1"/>
    <x v="0"/>
    <x v="1"/>
    <x v="2"/>
    <x v="0"/>
    <x v="0"/>
    <x v="4"/>
    <x v="2"/>
    <x v="0"/>
    <n v="600"/>
    <n v="582"/>
    <n v="407.56"/>
    <n v="174.44"/>
    <n v="0.29970000000000002"/>
    <n v="0.70030000000000003"/>
    <n v="268"/>
    <n v="0.80830000000000002"/>
    <x v="1"/>
    <x v="1"/>
  </r>
  <r>
    <s v="ORD-00104"/>
    <x v="99"/>
    <x v="5"/>
    <x v="3"/>
    <x v="2"/>
    <x v="5"/>
    <x v="0"/>
    <x v="0"/>
    <x v="1"/>
    <x v="2"/>
    <x v="3"/>
    <x v="5"/>
    <n v="300"/>
    <n v="285"/>
    <n v="148.71"/>
    <n v="136.29"/>
    <n v="0.47820000000000001"/>
    <n v="0.52180000000000004"/>
    <n v="171"/>
    <n v="0.4385"/>
    <x v="1"/>
    <x v="1"/>
  </r>
  <r>
    <s v="ORD-00105"/>
    <x v="100"/>
    <x v="4"/>
    <x v="2"/>
    <x v="2"/>
    <x v="4"/>
    <x v="3"/>
    <x v="1"/>
    <x v="1"/>
    <x v="0"/>
    <x v="2"/>
    <x v="5"/>
    <n v="800"/>
    <n v="760"/>
    <n v="438.11"/>
    <n v="321.89"/>
    <n v="0.42349999999999999"/>
    <n v="0.57650000000000001"/>
    <n v="829"/>
    <n v="1.1692"/>
    <x v="0"/>
    <x v="0"/>
  </r>
  <r>
    <s v="ORD-00106"/>
    <x v="101"/>
    <x v="2"/>
    <x v="1"/>
    <x v="0"/>
    <x v="2"/>
    <x v="1"/>
    <x v="0"/>
    <x v="0"/>
    <x v="5"/>
    <x v="3"/>
    <x v="5"/>
    <n v="150"/>
    <n v="142.5"/>
    <n v="110.11"/>
    <n v="32.39"/>
    <n v="0.2273"/>
    <n v="0.77270000000000005"/>
    <n v="113"/>
    <n v="0.23749999999999999"/>
    <x v="1"/>
    <x v="1"/>
  </r>
  <r>
    <s v="ORD-00107"/>
    <x v="102"/>
    <x v="5"/>
    <x v="3"/>
    <x v="2"/>
    <x v="5"/>
    <x v="3"/>
    <x v="0"/>
    <x v="0"/>
    <x v="0"/>
    <x v="7"/>
    <x v="4"/>
    <n v="240"/>
    <n v="216"/>
    <n v="108.91"/>
    <n v="107.09"/>
    <n v="0.49580000000000002"/>
    <n v="0.50419999999999998"/>
    <n v="252"/>
    <n v="0.33229999999999998"/>
    <x v="1"/>
    <x v="1"/>
  </r>
  <r>
    <s v="ORD-00108"/>
    <x v="103"/>
    <x v="2"/>
    <x v="1"/>
    <x v="1"/>
    <x v="5"/>
    <x v="1"/>
    <x v="0"/>
    <x v="0"/>
    <x v="4"/>
    <x v="8"/>
    <x v="0"/>
    <n v="300"/>
    <n v="291"/>
    <n v="149.38"/>
    <n v="141.62"/>
    <n v="0.48670000000000002"/>
    <n v="0.51329999999999998"/>
    <n v="348"/>
    <n v="0.28870000000000001"/>
    <x v="1"/>
    <x v="1"/>
  </r>
  <r>
    <s v="ORD-00109"/>
    <x v="104"/>
    <x v="5"/>
    <x v="3"/>
    <x v="1"/>
    <x v="5"/>
    <x v="0"/>
    <x v="0"/>
    <x v="0"/>
    <x v="0"/>
    <x v="6"/>
    <x v="3"/>
    <n v="2000"/>
    <n v="2000"/>
    <n v="1110.8499999999999"/>
    <n v="889.15"/>
    <n v="0.4446"/>
    <n v="0.5554"/>
    <n v="1553"/>
    <n v="1.9841"/>
    <x v="1"/>
    <x v="1"/>
  </r>
  <r>
    <s v="ORD-00110"/>
    <x v="105"/>
    <x v="5"/>
    <x v="3"/>
    <x v="4"/>
    <x v="5"/>
    <x v="1"/>
    <x v="1"/>
    <x v="0"/>
    <x v="5"/>
    <x v="8"/>
    <x v="3"/>
    <n v="100"/>
    <n v="100"/>
    <n v="71.67"/>
    <n v="28.33"/>
    <n v="0.2833"/>
    <n v="0.7167"/>
    <n v="76"/>
    <n v="0.12690000000000001"/>
    <x v="1"/>
    <x v="1"/>
  </r>
  <r>
    <s v="ORD-00111"/>
    <x v="106"/>
    <x v="0"/>
    <x v="0"/>
    <x v="2"/>
    <x v="5"/>
    <x v="1"/>
    <x v="1"/>
    <x v="0"/>
    <x v="0"/>
    <x v="2"/>
    <x v="2"/>
    <n v="800"/>
    <n v="736"/>
    <n v="511.58"/>
    <n v="224.42"/>
    <n v="0.3049"/>
    <n v="0.69510000000000005"/>
    <n v="901"/>
    <n v="1.1323000000000001"/>
    <x v="1"/>
    <x v="1"/>
  </r>
  <r>
    <s v="ORD-00112"/>
    <x v="107"/>
    <x v="1"/>
    <x v="0"/>
    <x v="3"/>
    <x v="3"/>
    <x v="1"/>
    <x v="1"/>
    <x v="0"/>
    <x v="4"/>
    <x v="2"/>
    <x v="5"/>
    <n v="600"/>
    <n v="570"/>
    <n v="458.19"/>
    <n v="111.81"/>
    <n v="0.19620000000000001"/>
    <n v="0.80379999999999996"/>
    <n v="597"/>
    <n v="0.59379999999999999"/>
    <x v="1"/>
    <x v="1"/>
  </r>
  <r>
    <s v="ORD-00113"/>
    <x v="108"/>
    <x v="2"/>
    <x v="1"/>
    <x v="1"/>
    <x v="0"/>
    <x v="2"/>
    <x v="1"/>
    <x v="0"/>
    <x v="4"/>
    <x v="9"/>
    <x v="0"/>
    <n v="240"/>
    <n v="232.8"/>
    <n v="157.62"/>
    <n v="75.180000000000007"/>
    <n v="0.32290000000000002"/>
    <n v="0.67710000000000004"/>
    <n v="250"/>
    <n v="0.25869999999999999"/>
    <x v="1"/>
    <x v="1"/>
  </r>
  <r>
    <s v="ORD-00114"/>
    <x v="84"/>
    <x v="1"/>
    <x v="0"/>
    <x v="2"/>
    <x v="5"/>
    <x v="1"/>
    <x v="1"/>
    <x v="0"/>
    <x v="3"/>
    <x v="0"/>
    <x v="3"/>
    <n v="1800"/>
    <n v="1800"/>
    <n v="1132.96"/>
    <n v="667.04"/>
    <n v="0.37059999999999998"/>
    <n v="0.62939999999999996"/>
    <n v="1347"/>
    <n v="2.4725000000000001"/>
    <x v="1"/>
    <x v="1"/>
  </r>
  <r>
    <s v="ORD-00115"/>
    <x v="29"/>
    <x v="2"/>
    <x v="1"/>
    <x v="1"/>
    <x v="2"/>
    <x v="3"/>
    <x v="1"/>
    <x v="0"/>
    <x v="3"/>
    <x v="4"/>
    <x v="5"/>
    <n v="240"/>
    <n v="228"/>
    <n v="179.45"/>
    <n v="48.55"/>
    <n v="0.21290000000000001"/>
    <n v="0.78710000000000002"/>
    <n v="524"/>
    <n v="0.21110000000000001"/>
    <x v="1"/>
    <x v="1"/>
  </r>
  <r>
    <s v="ORD-00116"/>
    <x v="109"/>
    <x v="1"/>
    <x v="0"/>
    <x v="4"/>
    <x v="3"/>
    <x v="1"/>
    <x v="0"/>
    <x v="0"/>
    <x v="7"/>
    <x v="7"/>
    <x v="0"/>
    <n v="420"/>
    <n v="407.4"/>
    <n v="305.48"/>
    <n v="101.92"/>
    <n v="0.25019999999999998"/>
    <n v="0.74980000000000002"/>
    <n v="444"/>
    <n v="0.54320000000000002"/>
    <x v="1"/>
    <x v="1"/>
  </r>
  <r>
    <s v="ORD-00117"/>
    <x v="110"/>
    <x v="0"/>
    <x v="0"/>
    <x v="2"/>
    <x v="4"/>
    <x v="3"/>
    <x v="0"/>
    <x v="1"/>
    <x v="4"/>
    <x v="2"/>
    <x v="5"/>
    <n v="600"/>
    <n v="570"/>
    <n v="318.27999999999997"/>
    <n v="251.72"/>
    <n v="0.44159999999999999"/>
    <n v="0.55840000000000001"/>
    <n v="671"/>
    <n v="0.87690000000000001"/>
    <x v="1"/>
    <x v="1"/>
  </r>
  <r>
    <s v="ORD-00118"/>
    <x v="111"/>
    <x v="1"/>
    <x v="0"/>
    <x v="1"/>
    <x v="3"/>
    <x v="2"/>
    <x v="0"/>
    <x v="0"/>
    <x v="0"/>
    <x v="7"/>
    <x v="4"/>
    <n v="240"/>
    <n v="216"/>
    <n v="135.31"/>
    <n v="80.69"/>
    <n v="0.37359999999999999"/>
    <n v="0.62639999999999996"/>
    <n v="162"/>
    <n v="0.2286"/>
    <x v="1"/>
    <x v="1"/>
  </r>
  <r>
    <s v="ORD-00119"/>
    <x v="14"/>
    <x v="0"/>
    <x v="0"/>
    <x v="4"/>
    <x v="0"/>
    <x v="1"/>
    <x v="0"/>
    <x v="0"/>
    <x v="3"/>
    <x v="8"/>
    <x v="5"/>
    <n v="600"/>
    <n v="570"/>
    <n v="377.26"/>
    <n v="192.74"/>
    <n v="0.33810000000000001"/>
    <n v="0.66190000000000004"/>
    <n v="611"/>
    <n v="0.76"/>
    <x v="1"/>
    <x v="1"/>
  </r>
  <r>
    <s v="ORD-00120"/>
    <x v="31"/>
    <x v="5"/>
    <x v="3"/>
    <x v="2"/>
    <x v="4"/>
    <x v="0"/>
    <x v="0"/>
    <x v="0"/>
    <x v="7"/>
    <x v="6"/>
    <x v="5"/>
    <n v="3500"/>
    <n v="3325"/>
    <n v="1790.45"/>
    <n v="1534.55"/>
    <n v="0.46150000000000002"/>
    <n v="0.53849999999999998"/>
    <n v="3467"/>
    <n v="4.8754"/>
    <x v="1"/>
    <x v="1"/>
  </r>
  <r>
    <s v="ORD-00121"/>
    <x v="112"/>
    <x v="1"/>
    <x v="0"/>
    <x v="0"/>
    <x v="4"/>
    <x v="1"/>
    <x v="1"/>
    <x v="0"/>
    <x v="1"/>
    <x v="9"/>
    <x v="1"/>
    <n v="400"/>
    <n v="340"/>
    <n v="226.32"/>
    <n v="113.68"/>
    <n v="0.33439999999999998"/>
    <n v="0.66559999999999997"/>
    <n v="254"/>
    <n v="0.47220000000000001"/>
    <x v="0"/>
    <x v="2"/>
  </r>
  <r>
    <s v="ORD-00122"/>
    <x v="113"/>
    <x v="2"/>
    <x v="1"/>
    <x v="4"/>
    <x v="3"/>
    <x v="3"/>
    <x v="0"/>
    <x v="0"/>
    <x v="4"/>
    <x v="1"/>
    <x v="0"/>
    <n v="75"/>
    <n v="72.75"/>
    <n v="45.77"/>
    <n v="26.98"/>
    <n v="0.37090000000000001"/>
    <n v="0.62909999999999999"/>
    <n v="88"/>
    <n v="9.7000000000000003E-2"/>
    <x v="0"/>
    <x v="5"/>
  </r>
  <r>
    <s v="ORD-00123"/>
    <x v="114"/>
    <x v="1"/>
    <x v="0"/>
    <x v="3"/>
    <x v="2"/>
    <x v="0"/>
    <x v="0"/>
    <x v="0"/>
    <x v="0"/>
    <x v="0"/>
    <x v="2"/>
    <n v="1200"/>
    <n v="1104"/>
    <n v="905.28"/>
    <n v="198.72"/>
    <n v="0.18"/>
    <n v="0.82"/>
    <n v="2532"/>
    <n v="1.1499999999999999"/>
    <x v="1"/>
    <x v="1"/>
  </r>
  <r>
    <s v="ORD-00124"/>
    <x v="115"/>
    <x v="0"/>
    <x v="0"/>
    <x v="0"/>
    <x v="3"/>
    <x v="0"/>
    <x v="0"/>
    <x v="1"/>
    <x v="1"/>
    <x v="0"/>
    <x v="3"/>
    <n v="1500"/>
    <n v="1500"/>
    <n v="799.59"/>
    <n v="700.41"/>
    <n v="0.46689999999999998"/>
    <n v="0.53310000000000002"/>
    <n v="1554"/>
    <n v="2.3809999999999998"/>
    <x v="0"/>
    <x v="2"/>
  </r>
  <r>
    <s v="ORD-00125"/>
    <x v="116"/>
    <x v="2"/>
    <x v="1"/>
    <x v="3"/>
    <x v="2"/>
    <x v="0"/>
    <x v="0"/>
    <x v="0"/>
    <x v="5"/>
    <x v="7"/>
    <x v="3"/>
    <n v="60"/>
    <n v="60"/>
    <n v="38.19"/>
    <n v="21.81"/>
    <n v="0.36349999999999999"/>
    <n v="0.63649999999999995"/>
    <n v="51"/>
    <n v="7.1400000000000005E-2"/>
    <x v="1"/>
    <x v="1"/>
  </r>
  <r>
    <s v="ORD-00126"/>
    <x v="117"/>
    <x v="3"/>
    <x v="2"/>
    <x v="1"/>
    <x v="4"/>
    <x v="0"/>
    <x v="1"/>
    <x v="1"/>
    <x v="10"/>
    <x v="9"/>
    <x v="3"/>
    <n v="800"/>
    <n v="800"/>
    <n v="437.53"/>
    <n v="362.47"/>
    <n v="0.4531"/>
    <n v="0.54690000000000005"/>
    <n v="532"/>
    <n v="0.88890000000000002"/>
    <x v="1"/>
    <x v="1"/>
  </r>
  <r>
    <s v="ORD-00127"/>
    <x v="118"/>
    <x v="2"/>
    <x v="1"/>
    <x v="2"/>
    <x v="0"/>
    <x v="1"/>
    <x v="0"/>
    <x v="1"/>
    <x v="7"/>
    <x v="8"/>
    <x v="5"/>
    <n v="700"/>
    <n v="665"/>
    <n v="456.32"/>
    <n v="208.68"/>
    <n v="0.31380000000000002"/>
    <n v="0.68620000000000003"/>
    <n v="888"/>
    <n v="0.97509999999999997"/>
    <x v="1"/>
    <x v="1"/>
  </r>
  <r>
    <s v="ORD-00128"/>
    <x v="119"/>
    <x v="3"/>
    <x v="2"/>
    <x v="0"/>
    <x v="3"/>
    <x v="1"/>
    <x v="0"/>
    <x v="0"/>
    <x v="1"/>
    <x v="6"/>
    <x v="2"/>
    <n v="2500"/>
    <n v="2300"/>
    <n v="1202.5899999999999"/>
    <n v="1097.4100000000001"/>
    <n v="0.47710000000000002"/>
    <n v="0.52290000000000003"/>
    <n v="2784"/>
    <n v="3.8332999999999999"/>
    <x v="1"/>
    <x v="1"/>
  </r>
  <r>
    <s v="ORD-00129"/>
    <x v="120"/>
    <x v="2"/>
    <x v="1"/>
    <x v="4"/>
    <x v="2"/>
    <x v="0"/>
    <x v="1"/>
    <x v="0"/>
    <x v="1"/>
    <x v="0"/>
    <x v="5"/>
    <n v="1500"/>
    <n v="1425"/>
    <n v="1168.5"/>
    <n v="256.5"/>
    <n v="0.18"/>
    <n v="0.82"/>
    <n v="1112"/>
    <n v="1.8084"/>
    <x v="1"/>
    <x v="1"/>
  </r>
  <r>
    <s v="ORD-00130"/>
    <x v="121"/>
    <x v="5"/>
    <x v="3"/>
    <x v="4"/>
    <x v="5"/>
    <x v="2"/>
    <x v="0"/>
    <x v="0"/>
    <x v="4"/>
    <x v="1"/>
    <x v="5"/>
    <n v="75"/>
    <n v="71.25"/>
    <n v="51.38"/>
    <n v="19.87"/>
    <n v="0.27889999999999998"/>
    <n v="0.72109999999999996"/>
    <n v="77"/>
    <n v="7.9200000000000007E-2"/>
    <x v="1"/>
    <x v="1"/>
  </r>
  <r>
    <s v="ORD-00131"/>
    <x v="122"/>
    <x v="0"/>
    <x v="0"/>
    <x v="2"/>
    <x v="0"/>
    <x v="0"/>
    <x v="1"/>
    <x v="0"/>
    <x v="1"/>
    <x v="4"/>
    <x v="3"/>
    <n v="200"/>
    <n v="200"/>
    <n v="123.48"/>
    <n v="76.52"/>
    <n v="0.3826"/>
    <n v="0.61739999999999995"/>
    <n v="117"/>
    <n v="0.30769999999999997"/>
    <x v="1"/>
    <x v="1"/>
  </r>
  <r>
    <s v="ORD-00132"/>
    <x v="123"/>
    <x v="2"/>
    <x v="1"/>
    <x v="3"/>
    <x v="3"/>
    <x v="3"/>
    <x v="1"/>
    <x v="0"/>
    <x v="2"/>
    <x v="7"/>
    <x v="3"/>
    <n v="120"/>
    <n v="120"/>
    <n v="83.33"/>
    <n v="36.67"/>
    <n v="0.30559999999999998"/>
    <n v="0.69440000000000002"/>
    <n v="202"/>
    <n v="0.125"/>
    <x v="1"/>
    <x v="1"/>
  </r>
  <r>
    <s v="ORD-00133"/>
    <x v="124"/>
    <x v="4"/>
    <x v="2"/>
    <x v="0"/>
    <x v="2"/>
    <x v="3"/>
    <x v="0"/>
    <x v="0"/>
    <x v="5"/>
    <x v="9"/>
    <x v="2"/>
    <n v="80"/>
    <n v="73.599999999999994"/>
    <n v="49.36"/>
    <n v="24.24"/>
    <n v="0.32929999999999998"/>
    <n v="0.67069999999999996"/>
    <n v="142"/>
    <n v="0.1168"/>
    <x v="1"/>
    <x v="1"/>
  </r>
  <r>
    <s v="ORD-00134"/>
    <x v="125"/>
    <x v="5"/>
    <x v="3"/>
    <x v="4"/>
    <x v="3"/>
    <x v="1"/>
    <x v="0"/>
    <x v="0"/>
    <x v="7"/>
    <x v="1"/>
    <x v="2"/>
    <n v="175"/>
    <n v="161"/>
    <n v="121.58"/>
    <n v="39.42"/>
    <n v="0.24479999999999999"/>
    <n v="0.75519999999999998"/>
    <n v="196"/>
    <n v="0.19170000000000001"/>
    <x v="1"/>
    <x v="1"/>
  </r>
  <r>
    <s v="ORD-00135"/>
    <x v="57"/>
    <x v="5"/>
    <x v="3"/>
    <x v="4"/>
    <x v="3"/>
    <x v="1"/>
    <x v="1"/>
    <x v="0"/>
    <x v="3"/>
    <x v="7"/>
    <x v="5"/>
    <n v="360"/>
    <n v="342"/>
    <n v="245.6"/>
    <n v="96.4"/>
    <n v="0.28189999999999998"/>
    <n v="0.71809999999999996"/>
    <n v="256"/>
    <n v="0.38"/>
    <x v="1"/>
    <x v="1"/>
  </r>
  <r>
    <s v="ORD-00136"/>
    <x v="126"/>
    <x v="1"/>
    <x v="0"/>
    <x v="3"/>
    <x v="5"/>
    <x v="1"/>
    <x v="0"/>
    <x v="0"/>
    <x v="1"/>
    <x v="8"/>
    <x v="0"/>
    <n v="500"/>
    <n v="485"/>
    <n v="381.34"/>
    <n v="103.66"/>
    <n v="0.2137"/>
    <n v="0.7863"/>
    <n v="917"/>
    <n v="0.50519999999999998"/>
    <x v="1"/>
    <x v="1"/>
  </r>
  <r>
    <s v="ORD-00137"/>
    <x v="127"/>
    <x v="5"/>
    <x v="3"/>
    <x v="4"/>
    <x v="5"/>
    <x v="1"/>
    <x v="0"/>
    <x v="1"/>
    <x v="2"/>
    <x v="7"/>
    <x v="3"/>
    <n v="120"/>
    <n v="120"/>
    <n v="69.77"/>
    <n v="50.23"/>
    <n v="0.41860000000000003"/>
    <n v="0.58140000000000003"/>
    <n v="283"/>
    <n v="0.1429"/>
    <x v="1"/>
    <x v="1"/>
  </r>
  <r>
    <s v="ORD-00138"/>
    <x v="128"/>
    <x v="1"/>
    <x v="0"/>
    <x v="1"/>
    <x v="2"/>
    <x v="2"/>
    <x v="1"/>
    <x v="0"/>
    <x v="7"/>
    <x v="1"/>
    <x v="5"/>
    <n v="175"/>
    <n v="166.25"/>
    <n v="136.32"/>
    <n v="29.93"/>
    <n v="0.18"/>
    <n v="0.82"/>
    <n v="200"/>
    <n v="0.15390000000000001"/>
    <x v="1"/>
    <x v="1"/>
  </r>
  <r>
    <s v="ORD-00139"/>
    <x v="129"/>
    <x v="5"/>
    <x v="3"/>
    <x v="1"/>
    <x v="0"/>
    <x v="3"/>
    <x v="0"/>
    <x v="0"/>
    <x v="7"/>
    <x v="2"/>
    <x v="5"/>
    <n v="1400"/>
    <n v="1330"/>
    <n v="884.15"/>
    <n v="445.85"/>
    <n v="0.3352"/>
    <n v="0.66479999999999995"/>
    <n v="1641"/>
    <n v="1.2315"/>
    <x v="0"/>
    <x v="4"/>
  </r>
  <r>
    <s v="ORD-00140"/>
    <x v="130"/>
    <x v="0"/>
    <x v="0"/>
    <x v="1"/>
    <x v="3"/>
    <x v="0"/>
    <x v="1"/>
    <x v="0"/>
    <x v="4"/>
    <x v="1"/>
    <x v="3"/>
    <n v="75"/>
    <n v="75"/>
    <n v="48.94"/>
    <n v="26.06"/>
    <n v="0.34749999999999998"/>
    <n v="0.65249999999999997"/>
    <n v="91"/>
    <n v="6.9400000000000003E-2"/>
    <x v="1"/>
    <x v="1"/>
  </r>
  <r>
    <s v="ORD-00141"/>
    <x v="131"/>
    <x v="2"/>
    <x v="1"/>
    <x v="3"/>
    <x v="2"/>
    <x v="1"/>
    <x v="1"/>
    <x v="0"/>
    <x v="6"/>
    <x v="8"/>
    <x v="3"/>
    <n v="800"/>
    <n v="800"/>
    <n v="569.26"/>
    <n v="230.74"/>
    <n v="0.28839999999999999"/>
    <n v="0.71160000000000001"/>
    <n v="862"/>
    <n v="0.89290000000000003"/>
    <x v="1"/>
    <x v="1"/>
  </r>
  <r>
    <s v="ORD-00142"/>
    <x v="132"/>
    <x v="1"/>
    <x v="0"/>
    <x v="0"/>
    <x v="1"/>
    <x v="3"/>
    <x v="1"/>
    <x v="0"/>
    <x v="7"/>
    <x v="5"/>
    <x v="4"/>
    <n v="5250"/>
    <n v="4725"/>
    <n v="3355.5"/>
    <n v="1369.5"/>
    <n v="0.2898"/>
    <n v="0.71020000000000005"/>
    <n v="4983"/>
    <n v="7.0312000000000001"/>
    <x v="1"/>
    <x v="1"/>
  </r>
  <r>
    <s v="ORD-00143"/>
    <x v="133"/>
    <x v="5"/>
    <x v="3"/>
    <x v="4"/>
    <x v="5"/>
    <x v="2"/>
    <x v="0"/>
    <x v="0"/>
    <x v="8"/>
    <x v="2"/>
    <x v="2"/>
    <n v="1800"/>
    <n v="1656"/>
    <n v="1188.76"/>
    <n v="467.24"/>
    <n v="0.28210000000000002"/>
    <n v="0.71789999999999998"/>
    <n v="1976"/>
    <n v="1.9714"/>
    <x v="1"/>
    <x v="1"/>
  </r>
  <r>
    <s v="ORD-00144"/>
    <x v="134"/>
    <x v="2"/>
    <x v="1"/>
    <x v="0"/>
    <x v="3"/>
    <x v="1"/>
    <x v="0"/>
    <x v="0"/>
    <x v="0"/>
    <x v="4"/>
    <x v="0"/>
    <n v="160"/>
    <n v="155.19999999999999"/>
    <n v="100.4"/>
    <n v="54.8"/>
    <n v="0.35310000000000002"/>
    <n v="0.64690000000000003"/>
    <n v="135"/>
    <n v="0.25869999999999999"/>
    <x v="1"/>
    <x v="1"/>
  </r>
  <r>
    <s v="ORD-00145"/>
    <x v="135"/>
    <x v="5"/>
    <x v="3"/>
    <x v="1"/>
    <x v="5"/>
    <x v="2"/>
    <x v="1"/>
    <x v="0"/>
    <x v="0"/>
    <x v="9"/>
    <x v="0"/>
    <n v="320"/>
    <n v="310.39999999999998"/>
    <n v="188.3"/>
    <n v="122.1"/>
    <n v="0.39340000000000003"/>
    <n v="0.60660000000000003"/>
    <n v="244"/>
    <n v="0.34489999999999998"/>
    <x v="0"/>
    <x v="0"/>
  </r>
  <r>
    <s v="ORD-00146"/>
    <x v="136"/>
    <x v="1"/>
    <x v="0"/>
    <x v="3"/>
    <x v="0"/>
    <x v="1"/>
    <x v="1"/>
    <x v="0"/>
    <x v="5"/>
    <x v="2"/>
    <x v="1"/>
    <n v="200"/>
    <n v="170"/>
    <n v="112.81"/>
    <n v="57.19"/>
    <n v="0.33639999999999998"/>
    <n v="0.66359999999999997"/>
    <n v="203"/>
    <n v="0.21249999999999999"/>
    <x v="1"/>
    <x v="1"/>
  </r>
  <r>
    <s v="ORD-00147"/>
    <x v="137"/>
    <x v="3"/>
    <x v="2"/>
    <x v="2"/>
    <x v="4"/>
    <x v="3"/>
    <x v="0"/>
    <x v="0"/>
    <x v="7"/>
    <x v="9"/>
    <x v="2"/>
    <n v="560"/>
    <n v="515.20000000000005"/>
    <n v="312.08"/>
    <n v="203.12"/>
    <n v="0.39429999999999998"/>
    <n v="0.60570000000000002"/>
    <n v="554"/>
    <n v="0.66049999999999998"/>
    <x v="0"/>
    <x v="4"/>
  </r>
  <r>
    <s v="ORD-00148"/>
    <x v="138"/>
    <x v="5"/>
    <x v="3"/>
    <x v="2"/>
    <x v="0"/>
    <x v="0"/>
    <x v="0"/>
    <x v="0"/>
    <x v="7"/>
    <x v="2"/>
    <x v="2"/>
    <n v="1400"/>
    <n v="1288"/>
    <n v="854.11"/>
    <n v="433.89"/>
    <n v="0.33689999999999998"/>
    <n v="0.66310000000000002"/>
    <n v="1580"/>
    <n v="1.7692000000000001"/>
    <x v="1"/>
    <x v="1"/>
  </r>
  <r>
    <s v="ORD-00149"/>
    <x v="104"/>
    <x v="2"/>
    <x v="1"/>
    <x v="0"/>
    <x v="4"/>
    <x v="1"/>
    <x v="0"/>
    <x v="0"/>
    <x v="7"/>
    <x v="7"/>
    <x v="3"/>
    <n v="420"/>
    <n v="420"/>
    <n v="223.99"/>
    <n v="196.01"/>
    <n v="0.4667"/>
    <n v="0.5333"/>
    <n v="453"/>
    <n v="0.625"/>
    <x v="1"/>
    <x v="1"/>
  </r>
  <r>
    <s v="ORD-00150"/>
    <x v="139"/>
    <x v="3"/>
    <x v="2"/>
    <x v="1"/>
    <x v="4"/>
    <x v="3"/>
    <x v="1"/>
    <x v="0"/>
    <x v="2"/>
    <x v="8"/>
    <x v="2"/>
    <n v="200"/>
    <n v="184"/>
    <n v="87.84"/>
    <n v="96.16"/>
    <n v="0.52259999999999995"/>
    <n v="0.47739999999999999"/>
    <n v="348"/>
    <n v="0.1825"/>
    <x v="1"/>
    <x v="1"/>
  </r>
  <r>
    <s v="ORD-00151"/>
    <x v="140"/>
    <x v="2"/>
    <x v="1"/>
    <x v="3"/>
    <x v="1"/>
    <x v="1"/>
    <x v="0"/>
    <x v="0"/>
    <x v="7"/>
    <x v="0"/>
    <x v="3"/>
    <n v="2100"/>
    <n v="2100"/>
    <n v="1590.89"/>
    <n v="509.11"/>
    <n v="0.2424"/>
    <n v="0.75760000000000005"/>
    <n v="2475"/>
    <n v="2.5"/>
    <x v="1"/>
    <x v="1"/>
  </r>
  <r>
    <s v="ORD-00152"/>
    <x v="141"/>
    <x v="1"/>
    <x v="0"/>
    <x v="4"/>
    <x v="2"/>
    <x v="2"/>
    <x v="0"/>
    <x v="0"/>
    <x v="3"/>
    <x v="5"/>
    <x v="0"/>
    <n v="4500"/>
    <n v="4365"/>
    <n v="3256.23"/>
    <n v="1108.77"/>
    <n v="0.254"/>
    <n v="0.746"/>
    <n v="2940"/>
    <n v="4.8499999999999996"/>
    <x v="1"/>
    <x v="1"/>
  </r>
  <r>
    <s v="ORD-00153"/>
    <x v="21"/>
    <x v="1"/>
    <x v="0"/>
    <x v="3"/>
    <x v="5"/>
    <x v="1"/>
    <x v="0"/>
    <x v="0"/>
    <x v="0"/>
    <x v="8"/>
    <x v="4"/>
    <n v="400"/>
    <n v="360"/>
    <n v="257.27999999999997"/>
    <n v="102.72"/>
    <n v="0.2853"/>
    <n v="0.7147"/>
    <n v="542"/>
    <n v="0.45"/>
    <x v="1"/>
    <x v="1"/>
  </r>
  <r>
    <s v="ORD-00154"/>
    <x v="29"/>
    <x v="1"/>
    <x v="0"/>
    <x v="2"/>
    <x v="1"/>
    <x v="1"/>
    <x v="0"/>
    <x v="1"/>
    <x v="3"/>
    <x v="0"/>
    <x v="2"/>
    <n v="1800"/>
    <n v="1656"/>
    <n v="958.24"/>
    <n v="697.76"/>
    <n v="0.4214"/>
    <n v="0.5786"/>
    <n v="1435"/>
    <n v="2.1231"/>
    <x v="1"/>
    <x v="1"/>
  </r>
  <r>
    <s v="ORD-00155"/>
    <x v="142"/>
    <x v="0"/>
    <x v="0"/>
    <x v="1"/>
    <x v="5"/>
    <x v="2"/>
    <x v="1"/>
    <x v="1"/>
    <x v="6"/>
    <x v="6"/>
    <x v="0"/>
    <n v="4000"/>
    <n v="3880"/>
    <n v="2696.72"/>
    <n v="1183.28"/>
    <n v="0.30499999999999999"/>
    <n v="0.69499999999999995"/>
    <n v="5149"/>
    <n v="3.8492000000000002"/>
    <x v="0"/>
    <x v="8"/>
  </r>
  <r>
    <s v="ORD-00156"/>
    <x v="143"/>
    <x v="0"/>
    <x v="0"/>
    <x v="4"/>
    <x v="4"/>
    <x v="2"/>
    <x v="0"/>
    <x v="0"/>
    <x v="2"/>
    <x v="8"/>
    <x v="2"/>
    <n v="200"/>
    <n v="184"/>
    <n v="145.36000000000001"/>
    <n v="38.64"/>
    <n v="0.21"/>
    <n v="0.79"/>
    <n v="355"/>
    <n v="0.24529999999999999"/>
    <x v="1"/>
    <x v="1"/>
  </r>
  <r>
    <s v="ORD-00157"/>
    <x v="82"/>
    <x v="5"/>
    <x v="3"/>
    <x v="3"/>
    <x v="0"/>
    <x v="1"/>
    <x v="0"/>
    <x v="1"/>
    <x v="8"/>
    <x v="6"/>
    <x v="1"/>
    <n v="4500"/>
    <n v="3825"/>
    <n v="2895.73"/>
    <n v="929.27"/>
    <n v="0.2429"/>
    <n v="0.7571"/>
    <n v="2248"/>
    <n v="3.9843999999999999"/>
    <x v="1"/>
    <x v="1"/>
  </r>
  <r>
    <s v="ORD-00158"/>
    <x v="131"/>
    <x v="2"/>
    <x v="1"/>
    <x v="2"/>
    <x v="0"/>
    <x v="2"/>
    <x v="0"/>
    <x v="0"/>
    <x v="3"/>
    <x v="9"/>
    <x v="5"/>
    <n v="480"/>
    <n v="456"/>
    <n v="309.31"/>
    <n v="146.69"/>
    <n v="0.32169999999999999"/>
    <n v="0.67830000000000001"/>
    <n v="362"/>
    <n v="0.62639999999999996"/>
    <x v="1"/>
    <x v="1"/>
  </r>
  <r>
    <s v="ORD-00159"/>
    <x v="144"/>
    <x v="4"/>
    <x v="2"/>
    <x v="2"/>
    <x v="2"/>
    <x v="1"/>
    <x v="0"/>
    <x v="1"/>
    <x v="1"/>
    <x v="2"/>
    <x v="3"/>
    <n v="1000"/>
    <n v="1000"/>
    <n v="651.96"/>
    <n v="348.04"/>
    <n v="0.34799999999999998"/>
    <n v="0.65200000000000002"/>
    <n v="1211"/>
    <n v="1.4662999999999999"/>
    <x v="1"/>
    <x v="1"/>
  </r>
  <r>
    <s v="ORD-00160"/>
    <x v="145"/>
    <x v="0"/>
    <x v="0"/>
    <x v="4"/>
    <x v="3"/>
    <x v="0"/>
    <x v="1"/>
    <x v="0"/>
    <x v="6"/>
    <x v="9"/>
    <x v="5"/>
    <n v="640"/>
    <n v="608"/>
    <n v="404.63"/>
    <n v="203.37"/>
    <n v="0.33450000000000002"/>
    <n v="0.66549999999999998"/>
    <n v="660"/>
    <n v="0.7238"/>
    <x v="1"/>
    <x v="1"/>
  </r>
  <r>
    <s v="ORD-00161"/>
    <x v="146"/>
    <x v="2"/>
    <x v="1"/>
    <x v="3"/>
    <x v="4"/>
    <x v="2"/>
    <x v="1"/>
    <x v="0"/>
    <x v="7"/>
    <x v="9"/>
    <x v="0"/>
    <n v="560"/>
    <n v="543.20000000000005"/>
    <n v="390.59"/>
    <n v="152.61000000000001"/>
    <n v="0.28089999999999998"/>
    <n v="0.71909999999999996"/>
    <n v="646"/>
    <n v="0.56579999999999997"/>
    <x v="1"/>
    <x v="1"/>
  </r>
  <r>
    <s v="ORD-00162"/>
    <x v="81"/>
    <x v="4"/>
    <x v="2"/>
    <x v="2"/>
    <x v="1"/>
    <x v="0"/>
    <x v="0"/>
    <x v="1"/>
    <x v="3"/>
    <x v="2"/>
    <x v="3"/>
    <n v="1200"/>
    <n v="1200"/>
    <n v="804.9"/>
    <n v="395.1"/>
    <n v="0.32929999999999998"/>
    <n v="0.67079999999999995"/>
    <n v="1461"/>
    <n v="1.7595000000000001"/>
    <x v="0"/>
    <x v="3"/>
  </r>
  <r>
    <s v="ORD-00163"/>
    <x v="147"/>
    <x v="4"/>
    <x v="2"/>
    <x v="0"/>
    <x v="0"/>
    <x v="0"/>
    <x v="0"/>
    <x v="0"/>
    <x v="1"/>
    <x v="4"/>
    <x v="2"/>
    <n v="200"/>
    <n v="184"/>
    <n v="140.53"/>
    <n v="43.47"/>
    <n v="0.23619999999999999"/>
    <n v="0.76380000000000003"/>
    <n v="190"/>
    <n v="0.25559999999999999"/>
    <x v="0"/>
    <x v="2"/>
  </r>
  <r>
    <s v="ORD-00164"/>
    <x v="148"/>
    <x v="5"/>
    <x v="3"/>
    <x v="3"/>
    <x v="5"/>
    <x v="0"/>
    <x v="0"/>
    <x v="1"/>
    <x v="1"/>
    <x v="4"/>
    <x v="2"/>
    <n v="200"/>
    <n v="184"/>
    <n v="150.88"/>
    <n v="33.119999999999997"/>
    <n v="0.18"/>
    <n v="0.82"/>
    <n v="196"/>
    <n v="0.19170000000000001"/>
    <x v="1"/>
    <x v="1"/>
  </r>
  <r>
    <s v="ORD-00165"/>
    <x v="149"/>
    <x v="5"/>
    <x v="3"/>
    <x v="0"/>
    <x v="2"/>
    <x v="1"/>
    <x v="1"/>
    <x v="1"/>
    <x v="4"/>
    <x v="3"/>
    <x v="2"/>
    <n v="450"/>
    <n v="414"/>
    <n v="193.95"/>
    <n v="220.05"/>
    <n v="0.53149999999999997"/>
    <n v="0.46850000000000003"/>
    <n v="508"/>
    <n v="0.65710000000000002"/>
    <x v="1"/>
    <x v="1"/>
  </r>
  <r>
    <s v="ORD-00166"/>
    <x v="150"/>
    <x v="5"/>
    <x v="3"/>
    <x v="2"/>
    <x v="3"/>
    <x v="1"/>
    <x v="1"/>
    <x v="0"/>
    <x v="3"/>
    <x v="8"/>
    <x v="2"/>
    <n v="600"/>
    <n v="552"/>
    <n v="291.49"/>
    <n v="260.51"/>
    <n v="0.47189999999999999"/>
    <n v="0.52810000000000001"/>
    <n v="591"/>
    <n v="0.75819999999999999"/>
    <x v="1"/>
    <x v="1"/>
  </r>
  <r>
    <s v="ORD-00167"/>
    <x v="151"/>
    <x v="4"/>
    <x v="2"/>
    <x v="2"/>
    <x v="0"/>
    <x v="1"/>
    <x v="0"/>
    <x v="0"/>
    <x v="2"/>
    <x v="9"/>
    <x v="5"/>
    <n v="160"/>
    <n v="152"/>
    <n v="116.98"/>
    <n v="35.020000000000003"/>
    <n v="0.23039999999999999"/>
    <n v="0.76959999999999995"/>
    <n v="133"/>
    <n v="0.23380000000000001"/>
    <x v="1"/>
    <x v="1"/>
  </r>
  <r>
    <s v="ORD-00168"/>
    <x v="152"/>
    <x v="5"/>
    <x v="3"/>
    <x v="1"/>
    <x v="5"/>
    <x v="0"/>
    <x v="1"/>
    <x v="0"/>
    <x v="3"/>
    <x v="8"/>
    <x v="5"/>
    <n v="600"/>
    <n v="570"/>
    <n v="329.01"/>
    <n v="240.99"/>
    <n v="0.42280000000000001"/>
    <n v="0.57720000000000005"/>
    <n v="498"/>
    <n v="0.63329999999999997"/>
    <x v="0"/>
    <x v="3"/>
  </r>
  <r>
    <s v="ORD-00169"/>
    <x v="153"/>
    <x v="5"/>
    <x v="3"/>
    <x v="3"/>
    <x v="4"/>
    <x v="2"/>
    <x v="0"/>
    <x v="0"/>
    <x v="2"/>
    <x v="9"/>
    <x v="0"/>
    <n v="160"/>
    <n v="155.19999999999999"/>
    <n v="105.35"/>
    <n v="49.85"/>
    <n v="0.32119999999999999"/>
    <n v="0.67879999999999996"/>
    <n v="163"/>
    <n v="0.19400000000000001"/>
    <x v="0"/>
    <x v="6"/>
  </r>
  <r>
    <s v="ORD-00170"/>
    <x v="154"/>
    <x v="2"/>
    <x v="1"/>
    <x v="0"/>
    <x v="1"/>
    <x v="2"/>
    <x v="0"/>
    <x v="0"/>
    <x v="3"/>
    <x v="1"/>
    <x v="5"/>
    <n v="150"/>
    <n v="142.5"/>
    <n v="105.72"/>
    <n v="36.78"/>
    <n v="0.2581"/>
    <n v="0.7419"/>
    <n v="174"/>
    <n v="0.19789999999999999"/>
    <x v="1"/>
    <x v="1"/>
  </r>
  <r>
    <s v="ORD-00171"/>
    <x v="155"/>
    <x v="0"/>
    <x v="0"/>
    <x v="2"/>
    <x v="0"/>
    <x v="0"/>
    <x v="0"/>
    <x v="0"/>
    <x v="7"/>
    <x v="2"/>
    <x v="4"/>
    <n v="1400"/>
    <n v="1260"/>
    <n v="826.77"/>
    <n v="433.23"/>
    <n v="0.34379999999999999"/>
    <n v="0.65620000000000001"/>
    <n v="2403"/>
    <n v="1.6153999999999999"/>
    <x v="1"/>
    <x v="1"/>
  </r>
  <r>
    <s v="ORD-00172"/>
    <x v="156"/>
    <x v="2"/>
    <x v="1"/>
    <x v="1"/>
    <x v="1"/>
    <x v="1"/>
    <x v="0"/>
    <x v="0"/>
    <x v="0"/>
    <x v="7"/>
    <x v="0"/>
    <n v="240"/>
    <n v="232.8"/>
    <n v="119.97"/>
    <n v="112.83"/>
    <n v="0.48470000000000002"/>
    <n v="0.51529999999999998"/>
    <n v="285"/>
    <n v="0.24629999999999999"/>
    <x v="1"/>
    <x v="1"/>
  </r>
  <r>
    <s v="ORD-00173"/>
    <x v="61"/>
    <x v="5"/>
    <x v="3"/>
    <x v="3"/>
    <x v="4"/>
    <x v="2"/>
    <x v="1"/>
    <x v="0"/>
    <x v="7"/>
    <x v="2"/>
    <x v="1"/>
    <n v="1400"/>
    <n v="1190"/>
    <n v="759.38"/>
    <n v="430.62"/>
    <n v="0.3619"/>
    <n v="0.6381"/>
    <n v="1248"/>
    <n v="1.2396"/>
    <x v="1"/>
    <x v="1"/>
  </r>
  <r>
    <s v="ORD-00174"/>
    <x v="157"/>
    <x v="1"/>
    <x v="0"/>
    <x v="3"/>
    <x v="5"/>
    <x v="1"/>
    <x v="1"/>
    <x v="0"/>
    <x v="2"/>
    <x v="3"/>
    <x v="4"/>
    <n v="300"/>
    <n v="270"/>
    <n v="166.41"/>
    <n v="103.59"/>
    <n v="0.38369999999999999"/>
    <n v="0.61629999999999996"/>
    <n v="216"/>
    <n v="0.30130000000000001"/>
    <x v="1"/>
    <x v="1"/>
  </r>
  <r>
    <s v="ORD-00175"/>
    <x v="158"/>
    <x v="3"/>
    <x v="2"/>
    <x v="1"/>
    <x v="3"/>
    <x v="3"/>
    <x v="1"/>
    <x v="0"/>
    <x v="7"/>
    <x v="6"/>
    <x v="5"/>
    <n v="3500"/>
    <n v="3325"/>
    <n v="2049.4899999999998"/>
    <n v="1275.51"/>
    <n v="0.3836"/>
    <n v="0.61639999999999995"/>
    <n v="2599"/>
    <n v="3.0787"/>
    <x v="1"/>
    <x v="1"/>
  </r>
  <r>
    <s v="ORD-00176"/>
    <x v="159"/>
    <x v="1"/>
    <x v="0"/>
    <x v="1"/>
    <x v="4"/>
    <x v="1"/>
    <x v="0"/>
    <x v="0"/>
    <x v="0"/>
    <x v="9"/>
    <x v="5"/>
    <n v="320"/>
    <n v="304"/>
    <n v="165.39"/>
    <n v="138.61000000000001"/>
    <n v="0.45600000000000002"/>
    <n v="0.54400000000000004"/>
    <n v="200"/>
    <n v="0.30159999999999998"/>
    <x v="1"/>
    <x v="1"/>
  </r>
  <r>
    <s v="ORD-00177"/>
    <x v="160"/>
    <x v="0"/>
    <x v="0"/>
    <x v="1"/>
    <x v="5"/>
    <x v="3"/>
    <x v="0"/>
    <x v="0"/>
    <x v="3"/>
    <x v="2"/>
    <x v="0"/>
    <n v="1200"/>
    <n v="1164"/>
    <n v="885.25"/>
    <n v="278.75"/>
    <n v="0.23949999999999999"/>
    <n v="0.76049999999999995"/>
    <n v="1252"/>
    <n v="1.0778000000000001"/>
    <x v="1"/>
    <x v="1"/>
  </r>
  <r>
    <s v="ORD-00178"/>
    <x v="37"/>
    <x v="1"/>
    <x v="0"/>
    <x v="1"/>
    <x v="2"/>
    <x v="1"/>
    <x v="1"/>
    <x v="0"/>
    <x v="4"/>
    <x v="6"/>
    <x v="3"/>
    <n v="1500"/>
    <n v="1500"/>
    <n v="1050.2"/>
    <n v="449.8"/>
    <n v="0.2999"/>
    <n v="0.70009999999999994"/>
    <n v="1202"/>
    <n v="1.4881"/>
    <x v="1"/>
    <x v="1"/>
  </r>
  <r>
    <s v="ORD-00179"/>
    <x v="161"/>
    <x v="2"/>
    <x v="1"/>
    <x v="0"/>
    <x v="2"/>
    <x v="1"/>
    <x v="0"/>
    <x v="0"/>
    <x v="1"/>
    <x v="5"/>
    <x v="5"/>
    <n v="3750"/>
    <n v="3562.5"/>
    <n v="1800.25"/>
    <n v="1762.25"/>
    <n v="0.49469999999999997"/>
    <n v="0.50529999999999997"/>
    <n v="3808"/>
    <n v="5.9375"/>
    <x v="1"/>
    <x v="1"/>
  </r>
  <r>
    <s v="ORD-00180"/>
    <x v="162"/>
    <x v="2"/>
    <x v="1"/>
    <x v="2"/>
    <x v="2"/>
    <x v="3"/>
    <x v="0"/>
    <x v="0"/>
    <x v="3"/>
    <x v="3"/>
    <x v="0"/>
    <n v="900"/>
    <n v="873"/>
    <n v="555.30999999999995"/>
    <n v="317.69"/>
    <n v="0.3639"/>
    <n v="0.6361"/>
    <n v="1688"/>
    <n v="1.1992"/>
    <x v="1"/>
    <x v="1"/>
  </r>
  <r>
    <s v="ORD-00181"/>
    <x v="67"/>
    <x v="0"/>
    <x v="0"/>
    <x v="1"/>
    <x v="5"/>
    <x v="3"/>
    <x v="0"/>
    <x v="0"/>
    <x v="3"/>
    <x v="8"/>
    <x v="5"/>
    <n v="600"/>
    <n v="570"/>
    <n v="377.35"/>
    <n v="192.65"/>
    <n v="0.33800000000000002"/>
    <n v="0.66200000000000003"/>
    <n v="608"/>
    <n v="0.52780000000000005"/>
    <x v="1"/>
    <x v="1"/>
  </r>
  <r>
    <s v="ORD-00182"/>
    <x v="69"/>
    <x v="5"/>
    <x v="3"/>
    <x v="2"/>
    <x v="0"/>
    <x v="2"/>
    <x v="1"/>
    <x v="1"/>
    <x v="0"/>
    <x v="2"/>
    <x v="3"/>
    <n v="800"/>
    <n v="800"/>
    <n v="466.58"/>
    <n v="333.42"/>
    <n v="0.4168"/>
    <n v="0.58320000000000005"/>
    <n v="1345"/>
    <n v="1.2307999999999999"/>
    <x v="1"/>
    <x v="1"/>
  </r>
  <r>
    <s v="ORD-00183"/>
    <x v="163"/>
    <x v="0"/>
    <x v="0"/>
    <x v="3"/>
    <x v="0"/>
    <x v="1"/>
    <x v="0"/>
    <x v="0"/>
    <x v="7"/>
    <x v="8"/>
    <x v="0"/>
    <n v="700"/>
    <n v="679"/>
    <n v="507.01"/>
    <n v="171.99"/>
    <n v="0.25330000000000003"/>
    <n v="0.74670000000000003"/>
    <n v="402"/>
    <n v="0.80830000000000002"/>
    <x v="0"/>
    <x v="4"/>
  </r>
  <r>
    <s v="ORD-00184"/>
    <x v="164"/>
    <x v="4"/>
    <x v="2"/>
    <x v="1"/>
    <x v="1"/>
    <x v="0"/>
    <x v="1"/>
    <x v="0"/>
    <x v="2"/>
    <x v="2"/>
    <x v="2"/>
    <n v="400"/>
    <n v="368"/>
    <n v="243.7"/>
    <n v="124.3"/>
    <n v="0.33779999999999999"/>
    <n v="0.66220000000000001"/>
    <n v="448"/>
    <n v="0.40889999999999999"/>
    <x v="1"/>
    <x v="1"/>
  </r>
  <r>
    <s v="ORD-00185"/>
    <x v="23"/>
    <x v="3"/>
    <x v="2"/>
    <x v="1"/>
    <x v="1"/>
    <x v="2"/>
    <x v="0"/>
    <x v="0"/>
    <x v="0"/>
    <x v="8"/>
    <x v="5"/>
    <n v="400"/>
    <n v="380"/>
    <n v="241.85"/>
    <n v="138.15"/>
    <n v="0.36359999999999998"/>
    <n v="0.63639999999999997"/>
    <n v="447"/>
    <n v="0.40210000000000001"/>
    <x v="1"/>
    <x v="1"/>
  </r>
  <r>
    <s v="ORD-00186"/>
    <x v="165"/>
    <x v="3"/>
    <x v="2"/>
    <x v="4"/>
    <x v="1"/>
    <x v="2"/>
    <x v="1"/>
    <x v="1"/>
    <x v="4"/>
    <x v="0"/>
    <x v="3"/>
    <n v="900"/>
    <n v="900"/>
    <n v="595.76"/>
    <n v="304.24"/>
    <n v="0.33800000000000002"/>
    <n v="0.66200000000000003"/>
    <n v="419"/>
    <n v="1.2"/>
    <x v="1"/>
    <x v="1"/>
  </r>
  <r>
    <s v="ORD-00187"/>
    <x v="166"/>
    <x v="4"/>
    <x v="2"/>
    <x v="4"/>
    <x v="5"/>
    <x v="2"/>
    <x v="1"/>
    <x v="1"/>
    <x v="0"/>
    <x v="1"/>
    <x v="0"/>
    <n v="100"/>
    <n v="97"/>
    <n v="67.27"/>
    <n v="29.73"/>
    <n v="0.30649999999999999"/>
    <n v="0.69350000000000001"/>
    <n v="161"/>
    <n v="0.1231"/>
    <x v="1"/>
    <x v="1"/>
  </r>
  <r>
    <s v="ORD-00188"/>
    <x v="39"/>
    <x v="1"/>
    <x v="0"/>
    <x v="3"/>
    <x v="3"/>
    <x v="1"/>
    <x v="0"/>
    <x v="1"/>
    <x v="7"/>
    <x v="3"/>
    <x v="5"/>
    <n v="1050"/>
    <n v="997.5"/>
    <n v="746.59"/>
    <n v="250.91"/>
    <n v="0.2515"/>
    <n v="0.74850000000000005"/>
    <n v="1065"/>
    <n v="1.0390999999999999"/>
    <x v="1"/>
    <x v="1"/>
  </r>
  <r>
    <s v="ORD-00189"/>
    <x v="167"/>
    <x v="1"/>
    <x v="0"/>
    <x v="3"/>
    <x v="5"/>
    <x v="3"/>
    <x v="0"/>
    <x v="0"/>
    <x v="5"/>
    <x v="2"/>
    <x v="5"/>
    <n v="200"/>
    <n v="190"/>
    <n v="155.80000000000001"/>
    <n v="34.200000000000003"/>
    <n v="0.18"/>
    <n v="0.82"/>
    <n v="234"/>
    <n v="0.22620000000000001"/>
    <x v="0"/>
    <x v="7"/>
  </r>
  <r>
    <s v="ORD-00190"/>
    <x v="168"/>
    <x v="2"/>
    <x v="1"/>
    <x v="0"/>
    <x v="5"/>
    <x v="1"/>
    <x v="1"/>
    <x v="0"/>
    <x v="7"/>
    <x v="7"/>
    <x v="4"/>
    <n v="420"/>
    <n v="378"/>
    <n v="244.13"/>
    <n v="133.87"/>
    <n v="0.35420000000000001"/>
    <n v="0.64580000000000004"/>
    <n v="403"/>
    <n v="0.52500000000000002"/>
    <x v="1"/>
    <x v="1"/>
  </r>
  <r>
    <s v="ORD-00191"/>
    <x v="169"/>
    <x v="3"/>
    <x v="2"/>
    <x v="3"/>
    <x v="0"/>
    <x v="1"/>
    <x v="1"/>
    <x v="1"/>
    <x v="0"/>
    <x v="6"/>
    <x v="0"/>
    <n v="2000"/>
    <n v="1940"/>
    <n v="1461.2"/>
    <n v="478.8"/>
    <n v="0.24679999999999999"/>
    <n v="0.75319999999999998"/>
    <n v="2363"/>
    <n v="2.4249999999999998"/>
    <x v="1"/>
    <x v="1"/>
  </r>
  <r>
    <s v="ORD-00192"/>
    <x v="170"/>
    <x v="1"/>
    <x v="0"/>
    <x v="0"/>
    <x v="5"/>
    <x v="1"/>
    <x v="0"/>
    <x v="1"/>
    <x v="3"/>
    <x v="7"/>
    <x v="2"/>
    <n v="360"/>
    <n v="331.2"/>
    <n v="264.14"/>
    <n v="67.06"/>
    <n v="0.20250000000000001"/>
    <n v="0.79749999999999999"/>
    <n v="152"/>
    <n v="0.4929"/>
    <x v="1"/>
    <x v="1"/>
  </r>
  <r>
    <s v="ORD-00193"/>
    <x v="171"/>
    <x v="3"/>
    <x v="2"/>
    <x v="3"/>
    <x v="0"/>
    <x v="2"/>
    <x v="0"/>
    <x v="0"/>
    <x v="1"/>
    <x v="8"/>
    <x v="3"/>
    <n v="500"/>
    <n v="500"/>
    <n v="364.3"/>
    <n v="135.69999999999999"/>
    <n v="0.27139999999999997"/>
    <n v="0.72860000000000003"/>
    <n v="390"/>
    <n v="0.52080000000000004"/>
    <x v="1"/>
    <x v="1"/>
  </r>
  <r>
    <s v="ORD-00194"/>
    <x v="172"/>
    <x v="2"/>
    <x v="1"/>
    <x v="4"/>
    <x v="2"/>
    <x v="3"/>
    <x v="1"/>
    <x v="0"/>
    <x v="3"/>
    <x v="7"/>
    <x v="5"/>
    <n v="360"/>
    <n v="342"/>
    <n v="173.66"/>
    <n v="168.34"/>
    <n v="0.49220000000000003"/>
    <n v="0.50780000000000003"/>
    <n v="415"/>
    <n v="0.40710000000000002"/>
    <x v="1"/>
    <x v="1"/>
  </r>
  <r>
    <s v="ORD-00195"/>
    <x v="173"/>
    <x v="5"/>
    <x v="3"/>
    <x v="0"/>
    <x v="1"/>
    <x v="1"/>
    <x v="0"/>
    <x v="0"/>
    <x v="3"/>
    <x v="9"/>
    <x v="2"/>
    <n v="480"/>
    <n v="441.6"/>
    <n v="314.74"/>
    <n v="126.86"/>
    <n v="0.2873"/>
    <n v="0.7127"/>
    <n v="343"/>
    <n v="0.61329999999999996"/>
    <x v="1"/>
    <x v="1"/>
  </r>
  <r>
    <s v="ORD-00196"/>
    <x v="174"/>
    <x v="1"/>
    <x v="0"/>
    <x v="2"/>
    <x v="4"/>
    <x v="0"/>
    <x v="0"/>
    <x v="0"/>
    <x v="7"/>
    <x v="0"/>
    <x v="4"/>
    <n v="2100"/>
    <n v="1890"/>
    <n v="1034.1199999999999"/>
    <n v="855.88"/>
    <n v="0.45279999999999998"/>
    <n v="0.54720000000000002"/>
    <n v="2252"/>
    <n v="2.5962000000000001"/>
    <x v="0"/>
    <x v="4"/>
  </r>
  <r>
    <s v="ORD-00197"/>
    <x v="175"/>
    <x v="1"/>
    <x v="0"/>
    <x v="0"/>
    <x v="4"/>
    <x v="2"/>
    <x v="1"/>
    <x v="0"/>
    <x v="4"/>
    <x v="6"/>
    <x v="4"/>
    <n v="1500"/>
    <n v="1350"/>
    <n v="890.62"/>
    <n v="459.38"/>
    <n v="0.34029999999999999"/>
    <n v="0.65969999999999995"/>
    <n v="2250"/>
    <n v="2.0089000000000001"/>
    <x v="1"/>
    <x v="1"/>
  </r>
  <r>
    <s v="ORD-00198"/>
    <x v="74"/>
    <x v="2"/>
    <x v="1"/>
    <x v="3"/>
    <x v="5"/>
    <x v="2"/>
    <x v="1"/>
    <x v="0"/>
    <x v="5"/>
    <x v="6"/>
    <x v="5"/>
    <n v="500"/>
    <n v="475"/>
    <n v="310.83999999999997"/>
    <n v="164.16"/>
    <n v="0.34560000000000002"/>
    <n v="0.65439999999999998"/>
    <n v="358"/>
    <n v="0.5655"/>
    <x v="1"/>
    <x v="1"/>
  </r>
  <r>
    <s v="ORD-00199"/>
    <x v="176"/>
    <x v="2"/>
    <x v="1"/>
    <x v="1"/>
    <x v="0"/>
    <x v="1"/>
    <x v="1"/>
    <x v="1"/>
    <x v="0"/>
    <x v="3"/>
    <x v="3"/>
    <n v="600"/>
    <n v="600"/>
    <n v="436.62"/>
    <n v="163.38"/>
    <n v="0.27229999999999999"/>
    <n v="0.72770000000000001"/>
    <n v="727"/>
    <n v="0.55559999999999998"/>
    <x v="1"/>
    <x v="1"/>
  </r>
  <r>
    <s v="ORD-00200"/>
    <x v="177"/>
    <x v="4"/>
    <x v="2"/>
    <x v="2"/>
    <x v="4"/>
    <x v="2"/>
    <x v="1"/>
    <x v="1"/>
    <x v="0"/>
    <x v="7"/>
    <x v="5"/>
    <n v="240"/>
    <n v="228"/>
    <n v="154.99"/>
    <n v="73.010000000000005"/>
    <n v="0.32019999999999998"/>
    <n v="0.67979999999999996"/>
    <n v="277"/>
    <n v="0.31319999999999998"/>
    <x v="1"/>
    <x v="1"/>
  </r>
  <r>
    <s v="ORD-00201"/>
    <x v="178"/>
    <x v="3"/>
    <x v="2"/>
    <x v="3"/>
    <x v="2"/>
    <x v="3"/>
    <x v="0"/>
    <x v="0"/>
    <x v="7"/>
    <x v="3"/>
    <x v="2"/>
    <n v="1050"/>
    <n v="966"/>
    <n v="673.18"/>
    <n v="292.82"/>
    <n v="0.30309999999999998"/>
    <n v="0.69689999999999996"/>
    <n v="1137"/>
    <n v="1.0781000000000001"/>
    <x v="1"/>
    <x v="1"/>
  </r>
  <r>
    <s v="ORD-00202"/>
    <x v="179"/>
    <x v="2"/>
    <x v="1"/>
    <x v="2"/>
    <x v="4"/>
    <x v="1"/>
    <x v="1"/>
    <x v="0"/>
    <x v="0"/>
    <x v="3"/>
    <x v="4"/>
    <n v="600"/>
    <n v="540"/>
    <n v="287.33"/>
    <n v="252.67"/>
    <n v="0.46789999999999998"/>
    <n v="0.53210000000000002"/>
    <n v="589"/>
    <n v="0.83079999999999998"/>
    <x v="1"/>
    <x v="1"/>
  </r>
  <r>
    <s v="ORD-00203"/>
    <x v="180"/>
    <x v="1"/>
    <x v="0"/>
    <x v="2"/>
    <x v="4"/>
    <x v="1"/>
    <x v="0"/>
    <x v="1"/>
    <x v="7"/>
    <x v="7"/>
    <x v="0"/>
    <n v="420"/>
    <n v="407.4"/>
    <n v="292.64"/>
    <n v="114.76"/>
    <n v="0.28170000000000001"/>
    <n v="0.71830000000000005"/>
    <n v="304"/>
    <n v="0.52229999999999999"/>
    <x v="1"/>
    <x v="1"/>
  </r>
  <r>
    <s v="ORD-00204"/>
    <x v="181"/>
    <x v="2"/>
    <x v="1"/>
    <x v="3"/>
    <x v="0"/>
    <x v="0"/>
    <x v="1"/>
    <x v="0"/>
    <x v="1"/>
    <x v="0"/>
    <x v="4"/>
    <n v="1500"/>
    <n v="1350"/>
    <n v="1031.57"/>
    <n v="318.43"/>
    <n v="0.2359"/>
    <n v="0.7641"/>
    <n v="1444"/>
    <n v="1.5066999999999999"/>
    <x v="1"/>
    <x v="1"/>
  </r>
  <r>
    <s v="ORD-00205"/>
    <x v="182"/>
    <x v="3"/>
    <x v="2"/>
    <x v="3"/>
    <x v="0"/>
    <x v="0"/>
    <x v="0"/>
    <x v="0"/>
    <x v="1"/>
    <x v="2"/>
    <x v="3"/>
    <n v="1000"/>
    <n v="1000"/>
    <n v="627.38"/>
    <n v="372.62"/>
    <n v="0.37259999999999999"/>
    <n v="0.62739999999999996"/>
    <n v="1150"/>
    <n v="1.25"/>
    <x v="1"/>
    <x v="1"/>
  </r>
  <r>
    <s v="ORD-00206"/>
    <x v="183"/>
    <x v="5"/>
    <x v="3"/>
    <x v="0"/>
    <x v="0"/>
    <x v="1"/>
    <x v="0"/>
    <x v="0"/>
    <x v="0"/>
    <x v="8"/>
    <x v="4"/>
    <n v="400"/>
    <n v="360"/>
    <n v="223.36"/>
    <n v="136.63999999999999"/>
    <n v="0.37959999999999999"/>
    <n v="0.62039999999999995"/>
    <n v="238"/>
    <n v="0.53569999999999995"/>
    <x v="1"/>
    <x v="1"/>
  </r>
  <r>
    <s v="ORD-00207"/>
    <x v="184"/>
    <x v="0"/>
    <x v="0"/>
    <x v="1"/>
    <x v="4"/>
    <x v="2"/>
    <x v="1"/>
    <x v="0"/>
    <x v="0"/>
    <x v="3"/>
    <x v="0"/>
    <n v="600"/>
    <n v="582"/>
    <n v="300"/>
    <n v="282"/>
    <n v="0.48449999999999999"/>
    <n v="0.51549999999999996"/>
    <n v="607"/>
    <n v="0.57740000000000002"/>
    <x v="1"/>
    <x v="1"/>
  </r>
  <r>
    <s v="ORD-00208"/>
    <x v="185"/>
    <x v="4"/>
    <x v="2"/>
    <x v="1"/>
    <x v="2"/>
    <x v="3"/>
    <x v="1"/>
    <x v="0"/>
    <x v="2"/>
    <x v="1"/>
    <x v="4"/>
    <n v="50"/>
    <n v="45"/>
    <n v="27.57"/>
    <n v="17.43"/>
    <n v="0.38729999999999998"/>
    <n v="0.61270000000000002"/>
    <n v="30"/>
    <n v="0.05"/>
    <x v="1"/>
    <x v="1"/>
  </r>
  <r>
    <s v="ORD-00209"/>
    <x v="145"/>
    <x v="0"/>
    <x v="0"/>
    <x v="1"/>
    <x v="4"/>
    <x v="3"/>
    <x v="0"/>
    <x v="1"/>
    <x v="0"/>
    <x v="5"/>
    <x v="2"/>
    <n v="3000"/>
    <n v="2760"/>
    <n v="1493.13"/>
    <n v="1266.8699999999999"/>
    <n v="0.45900000000000002"/>
    <n v="0.54100000000000004"/>
    <n v="3281"/>
    <n v="2.7381000000000002"/>
    <x v="1"/>
    <x v="1"/>
  </r>
  <r>
    <s v="ORD-00210"/>
    <x v="186"/>
    <x v="1"/>
    <x v="0"/>
    <x v="1"/>
    <x v="3"/>
    <x v="0"/>
    <x v="0"/>
    <x v="1"/>
    <x v="3"/>
    <x v="9"/>
    <x v="4"/>
    <n v="480"/>
    <n v="432"/>
    <n v="310.85000000000002"/>
    <n v="121.15"/>
    <n v="0.28039999999999998"/>
    <n v="0.71960000000000002"/>
    <n v="341"/>
    <n v="0.4"/>
    <x v="1"/>
    <x v="1"/>
  </r>
  <r>
    <s v="ORD-00211"/>
    <x v="135"/>
    <x v="1"/>
    <x v="0"/>
    <x v="2"/>
    <x v="4"/>
    <x v="0"/>
    <x v="0"/>
    <x v="0"/>
    <x v="4"/>
    <x v="4"/>
    <x v="0"/>
    <n v="120"/>
    <n v="116.4"/>
    <n v="62.76"/>
    <n v="53.64"/>
    <n v="0.46079999999999999"/>
    <n v="0.53920000000000001"/>
    <n v="178"/>
    <n v="0.17910000000000001"/>
    <x v="1"/>
    <x v="1"/>
  </r>
  <r>
    <s v="ORD-00212"/>
    <x v="35"/>
    <x v="5"/>
    <x v="3"/>
    <x v="1"/>
    <x v="2"/>
    <x v="0"/>
    <x v="0"/>
    <x v="0"/>
    <x v="4"/>
    <x v="4"/>
    <x v="1"/>
    <n v="120"/>
    <n v="102"/>
    <n v="67.47"/>
    <n v="34.53"/>
    <n v="0.33850000000000002"/>
    <n v="0.66149999999999998"/>
    <n v="110"/>
    <n v="0.1079"/>
    <x v="1"/>
    <x v="1"/>
  </r>
  <r>
    <s v="ORD-00213"/>
    <x v="120"/>
    <x v="1"/>
    <x v="0"/>
    <x v="2"/>
    <x v="2"/>
    <x v="2"/>
    <x v="1"/>
    <x v="0"/>
    <x v="0"/>
    <x v="2"/>
    <x v="2"/>
    <n v="800"/>
    <n v="736"/>
    <n v="443.92"/>
    <n v="292.08"/>
    <n v="0.39679999999999999"/>
    <n v="0.60319999999999996"/>
    <n v="789"/>
    <n v="1.0791999999999999"/>
    <x v="0"/>
    <x v="0"/>
  </r>
  <r>
    <s v="ORD-00214"/>
    <x v="85"/>
    <x v="2"/>
    <x v="1"/>
    <x v="2"/>
    <x v="1"/>
    <x v="2"/>
    <x v="1"/>
    <x v="0"/>
    <x v="3"/>
    <x v="4"/>
    <x v="5"/>
    <n v="240"/>
    <n v="228"/>
    <n v="144.09"/>
    <n v="83.91"/>
    <n v="0.36799999999999999"/>
    <n v="0.63200000000000001"/>
    <n v="442"/>
    <n v="0.2923"/>
    <x v="1"/>
    <x v="1"/>
  </r>
  <r>
    <s v="ORD-00215"/>
    <x v="115"/>
    <x v="5"/>
    <x v="3"/>
    <x v="2"/>
    <x v="2"/>
    <x v="0"/>
    <x v="1"/>
    <x v="0"/>
    <x v="1"/>
    <x v="2"/>
    <x v="4"/>
    <n v="1000"/>
    <n v="900"/>
    <n v="500.04"/>
    <n v="399.96"/>
    <n v="0.44440000000000002"/>
    <n v="0.55559999999999998"/>
    <n v="715"/>
    <n v="1.3196000000000001"/>
    <x v="1"/>
    <x v="1"/>
  </r>
  <r>
    <s v="ORD-00216"/>
    <x v="187"/>
    <x v="1"/>
    <x v="0"/>
    <x v="0"/>
    <x v="5"/>
    <x v="3"/>
    <x v="1"/>
    <x v="0"/>
    <x v="3"/>
    <x v="6"/>
    <x v="0"/>
    <n v="3000"/>
    <n v="2910"/>
    <n v="1503.28"/>
    <n v="1406.72"/>
    <n v="0.4834"/>
    <n v="0.51659999999999995"/>
    <n v="4457"/>
    <n v="4.3304"/>
    <x v="1"/>
    <x v="1"/>
  </r>
  <r>
    <s v="ORD-00217"/>
    <x v="129"/>
    <x v="1"/>
    <x v="0"/>
    <x v="0"/>
    <x v="2"/>
    <x v="1"/>
    <x v="1"/>
    <x v="0"/>
    <x v="3"/>
    <x v="6"/>
    <x v="5"/>
    <n v="3000"/>
    <n v="2850"/>
    <n v="1620.28"/>
    <n v="1229.72"/>
    <n v="0.43149999999999999"/>
    <n v="0.56850000000000001"/>
    <n v="3047"/>
    <n v="3.9582999999999999"/>
    <x v="1"/>
    <x v="1"/>
  </r>
  <r>
    <s v="ORD-00218"/>
    <x v="188"/>
    <x v="5"/>
    <x v="3"/>
    <x v="0"/>
    <x v="4"/>
    <x v="3"/>
    <x v="0"/>
    <x v="0"/>
    <x v="3"/>
    <x v="9"/>
    <x v="0"/>
    <n v="480"/>
    <n v="465.6"/>
    <n v="275.79000000000002"/>
    <n v="189.81"/>
    <n v="0.40770000000000001"/>
    <n v="0.59230000000000005"/>
    <n v="344"/>
    <n v="0.64670000000000005"/>
    <x v="1"/>
    <x v="1"/>
  </r>
  <r>
    <s v="ORD-00219"/>
    <x v="179"/>
    <x v="1"/>
    <x v="0"/>
    <x v="1"/>
    <x v="2"/>
    <x v="3"/>
    <x v="0"/>
    <x v="0"/>
    <x v="2"/>
    <x v="2"/>
    <x v="5"/>
    <n v="400"/>
    <n v="380"/>
    <n v="237.09"/>
    <n v="142.91"/>
    <n v="0.37609999999999999"/>
    <n v="0.62390000000000001"/>
    <n v="333"/>
    <n v="0.42220000000000002"/>
    <x v="1"/>
    <x v="1"/>
  </r>
  <r>
    <s v="ORD-00220"/>
    <x v="189"/>
    <x v="5"/>
    <x v="3"/>
    <x v="1"/>
    <x v="0"/>
    <x v="1"/>
    <x v="1"/>
    <x v="0"/>
    <x v="0"/>
    <x v="3"/>
    <x v="3"/>
    <n v="600"/>
    <n v="600"/>
    <n v="371.7"/>
    <n v="228.3"/>
    <n v="0.3805"/>
    <n v="0.61950000000000005"/>
    <n v="632"/>
    <n v="0.55559999999999998"/>
    <x v="1"/>
    <x v="1"/>
  </r>
  <r>
    <s v="ORD-00221"/>
    <x v="190"/>
    <x v="2"/>
    <x v="1"/>
    <x v="3"/>
    <x v="2"/>
    <x v="3"/>
    <x v="1"/>
    <x v="0"/>
    <x v="3"/>
    <x v="2"/>
    <x v="1"/>
    <n v="1200"/>
    <n v="1020"/>
    <n v="836.4"/>
    <n v="183.6"/>
    <n v="0.18"/>
    <n v="0.82"/>
    <n v="470"/>
    <n v="1.0625"/>
    <x v="1"/>
    <x v="1"/>
  </r>
  <r>
    <s v="ORD-00222"/>
    <x v="191"/>
    <x v="2"/>
    <x v="1"/>
    <x v="1"/>
    <x v="2"/>
    <x v="1"/>
    <x v="1"/>
    <x v="1"/>
    <x v="7"/>
    <x v="4"/>
    <x v="4"/>
    <n v="280"/>
    <n v="252"/>
    <n v="196.63"/>
    <n v="55.37"/>
    <n v="0.21970000000000001"/>
    <n v="0.78029999999999999"/>
    <n v="303"/>
    <n v="0.26669999999999999"/>
    <x v="1"/>
    <x v="1"/>
  </r>
  <r>
    <s v="ORD-00223"/>
    <x v="192"/>
    <x v="1"/>
    <x v="0"/>
    <x v="0"/>
    <x v="5"/>
    <x v="1"/>
    <x v="1"/>
    <x v="0"/>
    <x v="4"/>
    <x v="9"/>
    <x v="1"/>
    <n v="240"/>
    <n v="204"/>
    <n v="133.69999999999999"/>
    <n v="70.3"/>
    <n v="0.34460000000000002"/>
    <n v="0.65539999999999998"/>
    <n v="216"/>
    <n v="0.34"/>
    <x v="1"/>
    <x v="1"/>
  </r>
  <r>
    <s v="ORD-00224"/>
    <x v="116"/>
    <x v="4"/>
    <x v="2"/>
    <x v="2"/>
    <x v="3"/>
    <x v="0"/>
    <x v="1"/>
    <x v="1"/>
    <x v="0"/>
    <x v="0"/>
    <x v="4"/>
    <n v="1200"/>
    <n v="1080"/>
    <n v="537.80999999999995"/>
    <n v="542.19000000000005"/>
    <n v="0.502"/>
    <n v="0.498"/>
    <n v="1820"/>
    <n v="1.5835999999999999"/>
    <x v="1"/>
    <x v="1"/>
  </r>
  <r>
    <s v="ORD-00225"/>
    <x v="142"/>
    <x v="1"/>
    <x v="0"/>
    <x v="4"/>
    <x v="3"/>
    <x v="2"/>
    <x v="0"/>
    <x v="0"/>
    <x v="4"/>
    <x v="9"/>
    <x v="3"/>
    <n v="240"/>
    <n v="240"/>
    <n v="146.08000000000001"/>
    <n v="93.92"/>
    <n v="0.39129999999999998"/>
    <n v="0.60870000000000002"/>
    <n v="252"/>
    <n v="0.28570000000000001"/>
    <x v="1"/>
    <x v="1"/>
  </r>
  <r>
    <s v="ORD-00226"/>
    <x v="193"/>
    <x v="0"/>
    <x v="0"/>
    <x v="4"/>
    <x v="2"/>
    <x v="1"/>
    <x v="0"/>
    <x v="0"/>
    <x v="2"/>
    <x v="8"/>
    <x v="3"/>
    <n v="200"/>
    <n v="200"/>
    <n v="156.33000000000001"/>
    <n v="43.67"/>
    <n v="0.21840000000000001"/>
    <n v="0.78169999999999995"/>
    <n v="214"/>
    <n v="0.26669999999999999"/>
    <x v="1"/>
    <x v="1"/>
  </r>
  <r>
    <s v="ORD-00227"/>
    <x v="194"/>
    <x v="1"/>
    <x v="0"/>
    <x v="4"/>
    <x v="2"/>
    <x v="3"/>
    <x v="1"/>
    <x v="0"/>
    <x v="2"/>
    <x v="3"/>
    <x v="5"/>
    <n v="300"/>
    <n v="285"/>
    <n v="231.35"/>
    <n v="53.65"/>
    <n v="0.18820000000000001"/>
    <n v="0.81179999999999997"/>
    <n v="338"/>
    <n v="0.31669999999999998"/>
    <x v="1"/>
    <x v="1"/>
  </r>
  <r>
    <s v="ORD-00228"/>
    <x v="195"/>
    <x v="2"/>
    <x v="1"/>
    <x v="0"/>
    <x v="1"/>
    <x v="1"/>
    <x v="0"/>
    <x v="1"/>
    <x v="5"/>
    <x v="0"/>
    <x v="4"/>
    <n v="300"/>
    <n v="270"/>
    <n v="140.28"/>
    <n v="129.72"/>
    <n v="0.48039999999999999"/>
    <n v="0.51959999999999995"/>
    <n v="285"/>
    <n v="0.45"/>
    <x v="1"/>
    <x v="1"/>
  </r>
  <r>
    <s v="ORD-00229"/>
    <x v="20"/>
    <x v="1"/>
    <x v="0"/>
    <x v="2"/>
    <x v="1"/>
    <x v="2"/>
    <x v="0"/>
    <x v="1"/>
    <x v="2"/>
    <x v="3"/>
    <x v="1"/>
    <n v="300"/>
    <n v="255"/>
    <n v="136.6"/>
    <n v="118.4"/>
    <n v="0.46429999999999999"/>
    <n v="0.53569999999999995"/>
    <n v="308"/>
    <n v="0.37390000000000001"/>
    <x v="1"/>
    <x v="1"/>
  </r>
  <r>
    <s v="ORD-00230"/>
    <x v="196"/>
    <x v="5"/>
    <x v="3"/>
    <x v="3"/>
    <x v="1"/>
    <x v="0"/>
    <x v="0"/>
    <x v="0"/>
    <x v="3"/>
    <x v="9"/>
    <x v="5"/>
    <n v="480"/>
    <n v="456"/>
    <n v="257.27999999999997"/>
    <n v="198.72"/>
    <n v="0.43580000000000002"/>
    <n v="0.56420000000000003"/>
    <n v="749"/>
    <n v="0.56999999999999995"/>
    <x v="0"/>
    <x v="3"/>
  </r>
  <r>
    <s v="ORD-00231"/>
    <x v="197"/>
    <x v="2"/>
    <x v="1"/>
    <x v="1"/>
    <x v="1"/>
    <x v="1"/>
    <x v="1"/>
    <x v="0"/>
    <x v="4"/>
    <x v="6"/>
    <x v="1"/>
    <n v="1500"/>
    <n v="1275"/>
    <n v="804.96"/>
    <n v="470.04"/>
    <n v="0.36870000000000003"/>
    <n v="0.63129999999999997"/>
    <n v="991"/>
    <n v="1.4167000000000001"/>
    <x v="1"/>
    <x v="1"/>
  </r>
  <r>
    <s v="ORD-00232"/>
    <x v="198"/>
    <x v="2"/>
    <x v="1"/>
    <x v="1"/>
    <x v="1"/>
    <x v="3"/>
    <x v="0"/>
    <x v="0"/>
    <x v="2"/>
    <x v="4"/>
    <x v="1"/>
    <n v="80"/>
    <n v="68"/>
    <n v="39.18"/>
    <n v="28.82"/>
    <n v="0.42380000000000001"/>
    <n v="0.57620000000000005"/>
    <n v="91"/>
    <n v="6.7500000000000004E-2"/>
    <x v="1"/>
    <x v="1"/>
  </r>
  <r>
    <s v="ORD-00233"/>
    <x v="199"/>
    <x v="3"/>
    <x v="2"/>
    <x v="0"/>
    <x v="3"/>
    <x v="0"/>
    <x v="1"/>
    <x v="1"/>
    <x v="2"/>
    <x v="3"/>
    <x v="2"/>
    <n v="300"/>
    <n v="276"/>
    <n v="159.12"/>
    <n v="116.88"/>
    <n v="0.42349999999999999"/>
    <n v="0.57650000000000001"/>
    <n v="130"/>
    <n v="0.46"/>
    <x v="0"/>
    <x v="6"/>
  </r>
  <r>
    <s v="ORD-00234"/>
    <x v="200"/>
    <x v="4"/>
    <x v="2"/>
    <x v="1"/>
    <x v="3"/>
    <x v="3"/>
    <x v="0"/>
    <x v="0"/>
    <x v="0"/>
    <x v="1"/>
    <x v="3"/>
    <n v="100"/>
    <n v="100"/>
    <n v="63.51"/>
    <n v="36.49"/>
    <n v="0.3649"/>
    <n v="0.6351"/>
    <n v="106"/>
    <n v="0.1111"/>
    <x v="0"/>
    <x v="0"/>
  </r>
  <r>
    <s v="ORD-00235"/>
    <x v="201"/>
    <x v="0"/>
    <x v="0"/>
    <x v="1"/>
    <x v="4"/>
    <x v="1"/>
    <x v="0"/>
    <x v="0"/>
    <x v="8"/>
    <x v="6"/>
    <x v="3"/>
    <n v="4500"/>
    <n v="4500"/>
    <n v="2776.07"/>
    <n v="1723.93"/>
    <n v="0.3831"/>
    <n v="0.6169"/>
    <n v="4911"/>
    <n v="4.7618999999999998"/>
    <x v="1"/>
    <x v="1"/>
  </r>
  <r>
    <s v="ORD-00236"/>
    <x v="202"/>
    <x v="1"/>
    <x v="0"/>
    <x v="4"/>
    <x v="1"/>
    <x v="2"/>
    <x v="1"/>
    <x v="0"/>
    <x v="3"/>
    <x v="4"/>
    <x v="1"/>
    <n v="240"/>
    <n v="204"/>
    <n v="147.09"/>
    <n v="56.91"/>
    <n v="0.27900000000000003"/>
    <n v="0.72099999999999997"/>
    <n v="248"/>
    <n v="0.25890000000000002"/>
    <x v="1"/>
    <x v="1"/>
  </r>
  <r>
    <s v="ORD-00237"/>
    <x v="203"/>
    <x v="0"/>
    <x v="0"/>
    <x v="0"/>
    <x v="5"/>
    <x v="1"/>
    <x v="1"/>
    <x v="1"/>
    <x v="4"/>
    <x v="0"/>
    <x v="5"/>
    <n v="900"/>
    <n v="855"/>
    <n v="467.76"/>
    <n v="387.24"/>
    <n v="0.45290000000000002"/>
    <n v="0.54710000000000003"/>
    <n v="1047"/>
    <n v="1.425"/>
    <x v="1"/>
    <x v="1"/>
  </r>
  <r>
    <s v="ORD-00238"/>
    <x v="204"/>
    <x v="3"/>
    <x v="2"/>
    <x v="1"/>
    <x v="4"/>
    <x v="3"/>
    <x v="0"/>
    <x v="0"/>
    <x v="3"/>
    <x v="6"/>
    <x v="4"/>
    <n v="3000"/>
    <n v="2700"/>
    <n v="1545.58"/>
    <n v="1154.42"/>
    <n v="0.42759999999999998"/>
    <n v="0.57240000000000002"/>
    <n v="2829"/>
    <n v="3"/>
    <x v="1"/>
    <x v="1"/>
  </r>
  <r>
    <s v="ORD-00239"/>
    <x v="205"/>
    <x v="3"/>
    <x v="2"/>
    <x v="0"/>
    <x v="1"/>
    <x v="2"/>
    <x v="0"/>
    <x v="0"/>
    <x v="0"/>
    <x v="3"/>
    <x v="4"/>
    <n v="600"/>
    <n v="540"/>
    <n v="376.96"/>
    <n v="163.04"/>
    <n v="0.3019"/>
    <n v="0.69810000000000005"/>
    <n v="652"/>
    <n v="0.9"/>
    <x v="0"/>
    <x v="0"/>
  </r>
  <r>
    <s v="ORD-00240"/>
    <x v="206"/>
    <x v="5"/>
    <x v="3"/>
    <x v="2"/>
    <x v="0"/>
    <x v="1"/>
    <x v="0"/>
    <x v="0"/>
    <x v="3"/>
    <x v="3"/>
    <x v="0"/>
    <n v="900"/>
    <n v="873"/>
    <n v="583.07000000000005"/>
    <n v="289.93"/>
    <n v="0.33210000000000001"/>
    <n v="0.66790000000000005"/>
    <n v="400"/>
    <n v="1.2801"/>
    <x v="1"/>
    <x v="1"/>
  </r>
  <r>
    <s v="ORD-00241"/>
    <x v="207"/>
    <x v="3"/>
    <x v="2"/>
    <x v="2"/>
    <x v="0"/>
    <x v="2"/>
    <x v="1"/>
    <x v="0"/>
    <x v="1"/>
    <x v="2"/>
    <x v="4"/>
    <n v="1000"/>
    <n v="900"/>
    <n v="503.5"/>
    <n v="396.5"/>
    <n v="0.44059999999999999"/>
    <n v="0.55940000000000001"/>
    <n v="1511"/>
    <n v="1.3846000000000001"/>
    <x v="1"/>
    <x v="1"/>
  </r>
  <r>
    <s v="ORD-00242"/>
    <x v="13"/>
    <x v="4"/>
    <x v="2"/>
    <x v="2"/>
    <x v="2"/>
    <x v="1"/>
    <x v="0"/>
    <x v="0"/>
    <x v="5"/>
    <x v="0"/>
    <x v="2"/>
    <n v="300"/>
    <n v="276"/>
    <n v="183.02"/>
    <n v="92.98"/>
    <n v="0.33689999999999998"/>
    <n v="0.66310000000000002"/>
    <n v="299"/>
    <n v="0.3538"/>
    <x v="1"/>
    <x v="1"/>
  </r>
  <r>
    <s v="ORD-00243"/>
    <x v="208"/>
    <x v="0"/>
    <x v="0"/>
    <x v="1"/>
    <x v="5"/>
    <x v="3"/>
    <x v="1"/>
    <x v="0"/>
    <x v="1"/>
    <x v="9"/>
    <x v="4"/>
    <n v="400"/>
    <n v="360"/>
    <n v="255.92"/>
    <n v="104.08"/>
    <n v="0.28910000000000002"/>
    <n v="0.71089999999999998"/>
    <n v="371"/>
    <n v="0.33329999999999999"/>
    <x v="1"/>
    <x v="1"/>
  </r>
  <r>
    <s v="ORD-00244"/>
    <x v="209"/>
    <x v="1"/>
    <x v="0"/>
    <x v="4"/>
    <x v="5"/>
    <x v="1"/>
    <x v="1"/>
    <x v="0"/>
    <x v="1"/>
    <x v="3"/>
    <x v="0"/>
    <n v="750"/>
    <n v="727.5"/>
    <n v="494.98"/>
    <n v="232.52"/>
    <n v="0.3196"/>
    <n v="0.6804"/>
    <n v="1107"/>
    <n v="0.97"/>
    <x v="1"/>
    <x v="1"/>
  </r>
  <r>
    <s v="ORD-00245"/>
    <x v="210"/>
    <x v="4"/>
    <x v="2"/>
    <x v="1"/>
    <x v="2"/>
    <x v="2"/>
    <x v="0"/>
    <x v="1"/>
    <x v="8"/>
    <x v="4"/>
    <x v="3"/>
    <n v="360"/>
    <n v="360"/>
    <n v="228.53"/>
    <n v="131.47"/>
    <n v="0.36520000000000002"/>
    <n v="0.63480000000000003"/>
    <n v="600"/>
    <n v="0.35709999999999997"/>
    <x v="1"/>
    <x v="1"/>
  </r>
  <r>
    <s v="ORD-00246"/>
    <x v="179"/>
    <x v="1"/>
    <x v="0"/>
    <x v="4"/>
    <x v="0"/>
    <x v="3"/>
    <x v="0"/>
    <x v="0"/>
    <x v="0"/>
    <x v="4"/>
    <x v="2"/>
    <n v="160"/>
    <n v="147.19999999999999"/>
    <n v="106.58"/>
    <n v="40.619999999999997"/>
    <n v="0.27600000000000002"/>
    <n v="0.72399999999999998"/>
    <n v="155"/>
    <n v="0.1963"/>
    <x v="1"/>
    <x v="1"/>
  </r>
  <r>
    <s v="ORD-00247"/>
    <x v="5"/>
    <x v="5"/>
    <x v="3"/>
    <x v="3"/>
    <x v="0"/>
    <x v="1"/>
    <x v="0"/>
    <x v="0"/>
    <x v="0"/>
    <x v="5"/>
    <x v="5"/>
    <n v="3000"/>
    <n v="2850"/>
    <n v="1788.33"/>
    <n v="1061.67"/>
    <n v="0.3725"/>
    <n v="0.62749999999999995"/>
    <n v="3505"/>
    <n v="2.9687999999999999"/>
    <x v="1"/>
    <x v="1"/>
  </r>
  <r>
    <s v="ORD-00248"/>
    <x v="211"/>
    <x v="1"/>
    <x v="0"/>
    <x v="1"/>
    <x v="2"/>
    <x v="1"/>
    <x v="0"/>
    <x v="1"/>
    <x v="4"/>
    <x v="4"/>
    <x v="3"/>
    <n v="120"/>
    <n v="120"/>
    <n v="81.81"/>
    <n v="38.19"/>
    <n v="0.31819999999999998"/>
    <n v="0.68179999999999996"/>
    <n v="146"/>
    <n v="0.1333"/>
    <x v="1"/>
    <x v="1"/>
  </r>
  <r>
    <s v="ORD-00249"/>
    <x v="212"/>
    <x v="4"/>
    <x v="2"/>
    <x v="1"/>
    <x v="4"/>
    <x v="1"/>
    <x v="0"/>
    <x v="0"/>
    <x v="4"/>
    <x v="0"/>
    <x v="3"/>
    <n v="900"/>
    <n v="900"/>
    <n v="595.77"/>
    <n v="304.23"/>
    <n v="0.33800000000000002"/>
    <n v="0.66200000000000003"/>
    <n v="2082"/>
    <n v="1"/>
    <x v="1"/>
    <x v="1"/>
  </r>
  <r>
    <s v="ORD-00250"/>
    <x v="143"/>
    <x v="4"/>
    <x v="2"/>
    <x v="1"/>
    <x v="1"/>
    <x v="0"/>
    <x v="0"/>
    <x v="0"/>
    <x v="4"/>
    <x v="5"/>
    <x v="0"/>
    <n v="2250"/>
    <n v="2182.5"/>
    <n v="1536.7"/>
    <n v="645.79999999999995"/>
    <n v="0.2959"/>
    <n v="0.70409999999999995"/>
    <n v="1884"/>
    <n v="2.4249999999999998"/>
    <x v="1"/>
    <x v="1"/>
  </r>
  <r>
    <s v="ORD-00251"/>
    <x v="213"/>
    <x v="2"/>
    <x v="1"/>
    <x v="4"/>
    <x v="4"/>
    <x v="1"/>
    <x v="0"/>
    <x v="0"/>
    <x v="1"/>
    <x v="0"/>
    <x v="5"/>
    <n v="1500"/>
    <n v="1425"/>
    <n v="904.33"/>
    <n v="520.66999999999996"/>
    <n v="0.3654"/>
    <n v="0.63460000000000005"/>
    <n v="1548"/>
    <n v="1.6963999999999999"/>
    <x v="1"/>
    <x v="1"/>
  </r>
  <r>
    <s v="ORD-00252"/>
    <x v="214"/>
    <x v="0"/>
    <x v="0"/>
    <x v="2"/>
    <x v="5"/>
    <x v="3"/>
    <x v="1"/>
    <x v="1"/>
    <x v="5"/>
    <x v="3"/>
    <x v="3"/>
    <n v="150"/>
    <n v="150"/>
    <n v="89.35"/>
    <n v="60.65"/>
    <n v="0.40429999999999999"/>
    <n v="0.59570000000000001"/>
    <n v="352"/>
    <n v="0.23080000000000001"/>
    <x v="1"/>
    <x v="1"/>
  </r>
  <r>
    <s v="ORD-00253"/>
    <x v="215"/>
    <x v="1"/>
    <x v="0"/>
    <x v="1"/>
    <x v="2"/>
    <x v="1"/>
    <x v="1"/>
    <x v="0"/>
    <x v="4"/>
    <x v="7"/>
    <x v="2"/>
    <n v="180"/>
    <n v="165.6"/>
    <n v="124.59"/>
    <n v="41.01"/>
    <n v="0.24759999999999999"/>
    <n v="0.75239999999999996"/>
    <n v="131"/>
    <n v="0.1643"/>
    <x v="1"/>
    <x v="1"/>
  </r>
  <r>
    <s v="ORD-00254"/>
    <x v="216"/>
    <x v="2"/>
    <x v="1"/>
    <x v="1"/>
    <x v="4"/>
    <x v="3"/>
    <x v="0"/>
    <x v="0"/>
    <x v="4"/>
    <x v="7"/>
    <x v="1"/>
    <n v="180"/>
    <n v="153"/>
    <n v="97.78"/>
    <n v="55.22"/>
    <n v="0.3609"/>
    <n v="0.6391"/>
    <n v="70"/>
    <n v="0.14169999999999999"/>
    <x v="0"/>
    <x v="5"/>
  </r>
  <r>
    <s v="ORD-00255"/>
    <x v="109"/>
    <x v="2"/>
    <x v="1"/>
    <x v="0"/>
    <x v="1"/>
    <x v="2"/>
    <x v="1"/>
    <x v="0"/>
    <x v="5"/>
    <x v="9"/>
    <x v="0"/>
    <n v="80"/>
    <n v="77.599999999999994"/>
    <n v="42.6"/>
    <n v="35"/>
    <n v="0.45100000000000001"/>
    <n v="0.54900000000000004"/>
    <n v="91"/>
    <n v="0.1293"/>
    <x v="1"/>
    <x v="1"/>
  </r>
  <r>
    <s v="ORD-00256"/>
    <x v="217"/>
    <x v="1"/>
    <x v="0"/>
    <x v="2"/>
    <x v="2"/>
    <x v="1"/>
    <x v="0"/>
    <x v="0"/>
    <x v="0"/>
    <x v="0"/>
    <x v="5"/>
    <n v="1200"/>
    <n v="1140"/>
    <n v="536.05999999999995"/>
    <n v="603.94000000000005"/>
    <n v="0.52980000000000005"/>
    <n v="0.47020000000000001"/>
    <n v="1381"/>
    <n v="1.5659000000000001"/>
    <x v="1"/>
    <x v="1"/>
  </r>
  <r>
    <s v="ORD-00257"/>
    <x v="46"/>
    <x v="1"/>
    <x v="0"/>
    <x v="1"/>
    <x v="5"/>
    <x v="0"/>
    <x v="1"/>
    <x v="1"/>
    <x v="1"/>
    <x v="4"/>
    <x v="5"/>
    <n v="200"/>
    <n v="190"/>
    <n v="108.83"/>
    <n v="81.17"/>
    <n v="0.42720000000000002"/>
    <n v="0.57279999999999998"/>
    <n v="319"/>
    <n v="0.21110000000000001"/>
    <x v="1"/>
    <x v="1"/>
  </r>
  <r>
    <s v="ORD-00258"/>
    <x v="218"/>
    <x v="2"/>
    <x v="1"/>
    <x v="4"/>
    <x v="3"/>
    <x v="3"/>
    <x v="1"/>
    <x v="0"/>
    <x v="7"/>
    <x v="3"/>
    <x v="5"/>
    <n v="1050"/>
    <n v="997.5"/>
    <n v="607.61"/>
    <n v="389.89"/>
    <n v="0.39090000000000003"/>
    <n v="0.60909999999999997"/>
    <n v="583"/>
    <n v="1.1875"/>
    <x v="1"/>
    <x v="1"/>
  </r>
  <r>
    <s v="ORD-00259"/>
    <x v="219"/>
    <x v="1"/>
    <x v="0"/>
    <x v="3"/>
    <x v="5"/>
    <x v="2"/>
    <x v="0"/>
    <x v="0"/>
    <x v="7"/>
    <x v="7"/>
    <x v="3"/>
    <n v="420"/>
    <n v="420"/>
    <n v="277.2"/>
    <n v="142.80000000000001"/>
    <n v="0.34"/>
    <n v="0.66"/>
    <n v="488"/>
    <n v="0.52500000000000002"/>
    <x v="1"/>
    <x v="1"/>
  </r>
  <r>
    <s v="ORD-00260"/>
    <x v="220"/>
    <x v="3"/>
    <x v="2"/>
    <x v="1"/>
    <x v="0"/>
    <x v="1"/>
    <x v="0"/>
    <x v="1"/>
    <x v="2"/>
    <x v="6"/>
    <x v="5"/>
    <n v="1000"/>
    <n v="950"/>
    <n v="518.39"/>
    <n v="431.61"/>
    <n v="0.45429999999999998"/>
    <n v="0.54569999999999996"/>
    <n v="1026"/>
    <n v="1.0556000000000001"/>
    <x v="1"/>
    <x v="1"/>
  </r>
  <r>
    <s v="ORD-00261"/>
    <x v="135"/>
    <x v="4"/>
    <x v="2"/>
    <x v="4"/>
    <x v="4"/>
    <x v="0"/>
    <x v="1"/>
    <x v="0"/>
    <x v="5"/>
    <x v="4"/>
    <x v="3"/>
    <n v="40"/>
    <n v="40"/>
    <n v="27.5"/>
    <n v="12.5"/>
    <n v="0.3125"/>
    <n v="0.6875"/>
    <n v="49"/>
    <n v="5.33E-2"/>
    <x v="1"/>
    <x v="1"/>
  </r>
  <r>
    <s v="ORD-00262"/>
    <x v="221"/>
    <x v="4"/>
    <x v="2"/>
    <x v="1"/>
    <x v="0"/>
    <x v="0"/>
    <x v="0"/>
    <x v="0"/>
    <x v="2"/>
    <x v="8"/>
    <x v="5"/>
    <n v="200"/>
    <n v="190"/>
    <n v="126.16"/>
    <n v="63.84"/>
    <n v="0.33600000000000002"/>
    <n v="0.66400000000000003"/>
    <n v="151"/>
    <n v="0.21110000000000001"/>
    <x v="1"/>
    <x v="1"/>
  </r>
  <r>
    <s v="ORD-00263"/>
    <x v="222"/>
    <x v="2"/>
    <x v="1"/>
    <x v="3"/>
    <x v="0"/>
    <x v="1"/>
    <x v="0"/>
    <x v="0"/>
    <x v="2"/>
    <x v="1"/>
    <x v="0"/>
    <n v="50"/>
    <n v="48.5"/>
    <n v="39.770000000000003"/>
    <n v="8.73"/>
    <n v="0.18"/>
    <n v="0.82"/>
    <n v="51"/>
    <n v="5.4100000000000002E-2"/>
    <x v="0"/>
    <x v="6"/>
  </r>
  <r>
    <s v="ORD-00264"/>
    <x v="223"/>
    <x v="2"/>
    <x v="1"/>
    <x v="4"/>
    <x v="3"/>
    <x v="1"/>
    <x v="1"/>
    <x v="1"/>
    <x v="2"/>
    <x v="1"/>
    <x v="3"/>
    <n v="50"/>
    <n v="50"/>
    <n v="36.33"/>
    <n v="13.67"/>
    <n v="0.27339999999999998"/>
    <n v="0.72660000000000002"/>
    <n v="61"/>
    <n v="6.6699999999999995E-2"/>
    <x v="1"/>
    <x v="1"/>
  </r>
  <r>
    <s v="ORD-00265"/>
    <x v="224"/>
    <x v="2"/>
    <x v="1"/>
    <x v="1"/>
    <x v="0"/>
    <x v="0"/>
    <x v="0"/>
    <x v="0"/>
    <x v="3"/>
    <x v="8"/>
    <x v="3"/>
    <n v="600"/>
    <n v="600"/>
    <n v="421.18"/>
    <n v="178.82"/>
    <n v="0.29799999999999999"/>
    <n v="0.70199999999999996"/>
    <n v="642"/>
    <n v="0.55559999999999998"/>
    <x v="1"/>
    <x v="1"/>
  </r>
  <r>
    <s v="ORD-00266"/>
    <x v="225"/>
    <x v="5"/>
    <x v="3"/>
    <x v="0"/>
    <x v="0"/>
    <x v="2"/>
    <x v="1"/>
    <x v="0"/>
    <x v="0"/>
    <x v="8"/>
    <x v="4"/>
    <n v="400"/>
    <n v="360"/>
    <n v="186.59"/>
    <n v="173.41"/>
    <n v="0.48170000000000002"/>
    <n v="0.51829999999999998"/>
    <n v="211"/>
    <n v="0.6"/>
    <x v="1"/>
    <x v="1"/>
  </r>
  <r>
    <s v="ORD-00267"/>
    <x v="226"/>
    <x v="0"/>
    <x v="0"/>
    <x v="3"/>
    <x v="5"/>
    <x v="1"/>
    <x v="1"/>
    <x v="1"/>
    <x v="1"/>
    <x v="2"/>
    <x v="2"/>
    <n v="1000"/>
    <n v="920"/>
    <n v="597.20000000000005"/>
    <n v="322.8"/>
    <n v="0.35089999999999999"/>
    <n v="0.64910000000000001"/>
    <n v="424"/>
    <n v="1.0952"/>
    <x v="1"/>
    <x v="1"/>
  </r>
  <r>
    <s v="ORD-00268"/>
    <x v="227"/>
    <x v="0"/>
    <x v="0"/>
    <x v="1"/>
    <x v="0"/>
    <x v="0"/>
    <x v="1"/>
    <x v="0"/>
    <x v="5"/>
    <x v="5"/>
    <x v="2"/>
    <n v="750"/>
    <n v="690"/>
    <n v="488.43"/>
    <n v="201.57"/>
    <n v="0.29210000000000003"/>
    <n v="0.70789999999999997"/>
    <n v="591"/>
    <n v="0.76670000000000005"/>
    <x v="1"/>
    <x v="1"/>
  </r>
  <r>
    <s v="ORD-00269"/>
    <x v="228"/>
    <x v="0"/>
    <x v="0"/>
    <x v="1"/>
    <x v="2"/>
    <x v="3"/>
    <x v="1"/>
    <x v="0"/>
    <x v="4"/>
    <x v="0"/>
    <x v="5"/>
    <n v="900"/>
    <n v="855"/>
    <n v="483.62"/>
    <n v="371.38"/>
    <n v="0.43440000000000001"/>
    <n v="0.56559999999999999"/>
    <n v="995"/>
    <n v="0.95"/>
    <x v="1"/>
    <x v="1"/>
  </r>
  <r>
    <s v="ORD-00270"/>
    <x v="229"/>
    <x v="0"/>
    <x v="0"/>
    <x v="1"/>
    <x v="5"/>
    <x v="3"/>
    <x v="1"/>
    <x v="0"/>
    <x v="0"/>
    <x v="8"/>
    <x v="5"/>
    <n v="400"/>
    <n v="380"/>
    <n v="286.48"/>
    <n v="93.52"/>
    <n v="0.24610000000000001"/>
    <n v="0.75390000000000001"/>
    <n v="458"/>
    <n v="0.35189999999999999"/>
    <x v="1"/>
    <x v="1"/>
  </r>
  <r>
    <s v="ORD-00271"/>
    <x v="230"/>
    <x v="5"/>
    <x v="3"/>
    <x v="0"/>
    <x v="5"/>
    <x v="2"/>
    <x v="1"/>
    <x v="0"/>
    <x v="1"/>
    <x v="6"/>
    <x v="0"/>
    <n v="2500"/>
    <n v="2425"/>
    <n v="1638.93"/>
    <n v="786.07"/>
    <n v="0.32419999999999999"/>
    <n v="0.67579999999999996"/>
    <n v="4592"/>
    <n v="3.6086"/>
    <x v="1"/>
    <x v="1"/>
  </r>
  <r>
    <s v="ORD-00272"/>
    <x v="231"/>
    <x v="2"/>
    <x v="1"/>
    <x v="1"/>
    <x v="0"/>
    <x v="1"/>
    <x v="0"/>
    <x v="0"/>
    <x v="1"/>
    <x v="0"/>
    <x v="5"/>
    <n v="1500"/>
    <n v="1425"/>
    <n v="877.25"/>
    <n v="547.75"/>
    <n v="0.38440000000000002"/>
    <n v="0.61560000000000004"/>
    <n v="3277"/>
    <n v="1.4137"/>
    <x v="1"/>
    <x v="1"/>
  </r>
  <r>
    <s v="ORD-00273"/>
    <x v="232"/>
    <x v="2"/>
    <x v="1"/>
    <x v="1"/>
    <x v="3"/>
    <x v="3"/>
    <x v="0"/>
    <x v="1"/>
    <x v="0"/>
    <x v="6"/>
    <x v="5"/>
    <n v="2000"/>
    <n v="1900"/>
    <n v="1261.68"/>
    <n v="638.32000000000005"/>
    <n v="0.33600000000000002"/>
    <n v="0.66400000000000003"/>
    <n v="869"/>
    <n v="1.7593000000000001"/>
    <x v="0"/>
    <x v="0"/>
  </r>
  <r>
    <s v="ORD-00274"/>
    <x v="233"/>
    <x v="1"/>
    <x v="0"/>
    <x v="0"/>
    <x v="2"/>
    <x v="0"/>
    <x v="0"/>
    <x v="0"/>
    <x v="4"/>
    <x v="7"/>
    <x v="1"/>
    <n v="180"/>
    <n v="153"/>
    <n v="92.98"/>
    <n v="60.02"/>
    <n v="0.39229999999999998"/>
    <n v="0.60770000000000002"/>
    <n v="255"/>
    <n v="0.255"/>
    <x v="1"/>
    <x v="1"/>
  </r>
  <r>
    <s v="ORD-00275"/>
    <x v="234"/>
    <x v="1"/>
    <x v="0"/>
    <x v="4"/>
    <x v="3"/>
    <x v="1"/>
    <x v="0"/>
    <x v="0"/>
    <x v="3"/>
    <x v="8"/>
    <x v="2"/>
    <n v="600"/>
    <n v="552"/>
    <n v="446.89"/>
    <n v="105.11"/>
    <n v="0.19040000000000001"/>
    <n v="0.80959999999999999"/>
    <n v="680"/>
    <n v="0.61329999999999996"/>
    <x v="1"/>
    <x v="1"/>
  </r>
  <r>
    <s v="ORD-00276"/>
    <x v="235"/>
    <x v="1"/>
    <x v="0"/>
    <x v="2"/>
    <x v="2"/>
    <x v="1"/>
    <x v="0"/>
    <x v="0"/>
    <x v="1"/>
    <x v="6"/>
    <x v="1"/>
    <n v="2500"/>
    <n v="2125"/>
    <n v="1205.32"/>
    <n v="919.68"/>
    <n v="0.43280000000000002"/>
    <n v="0.56720000000000004"/>
    <n v="1581"/>
    <n v="3.2692000000000001"/>
    <x v="1"/>
    <x v="1"/>
  </r>
  <r>
    <s v="ORD-00277"/>
    <x v="236"/>
    <x v="2"/>
    <x v="1"/>
    <x v="1"/>
    <x v="5"/>
    <x v="0"/>
    <x v="0"/>
    <x v="1"/>
    <x v="4"/>
    <x v="9"/>
    <x v="0"/>
    <n v="240"/>
    <n v="232.8"/>
    <n v="158.34"/>
    <n v="74.459999999999994"/>
    <n v="0.31979999999999997"/>
    <n v="0.68020000000000003"/>
    <n v="270"/>
    <n v="0.24629999999999999"/>
    <x v="1"/>
    <x v="1"/>
  </r>
  <r>
    <s v="ORD-00278"/>
    <x v="237"/>
    <x v="4"/>
    <x v="2"/>
    <x v="3"/>
    <x v="0"/>
    <x v="2"/>
    <x v="1"/>
    <x v="1"/>
    <x v="4"/>
    <x v="7"/>
    <x v="4"/>
    <n v="180"/>
    <n v="162"/>
    <n v="93.41"/>
    <n v="68.59"/>
    <n v="0.4234"/>
    <n v="0.5766"/>
    <n v="195"/>
    <n v="0.19289999999999999"/>
    <x v="1"/>
    <x v="1"/>
  </r>
  <r>
    <s v="ORD-00279"/>
    <x v="238"/>
    <x v="3"/>
    <x v="2"/>
    <x v="2"/>
    <x v="2"/>
    <x v="0"/>
    <x v="1"/>
    <x v="0"/>
    <x v="4"/>
    <x v="7"/>
    <x v="4"/>
    <n v="180"/>
    <n v="162"/>
    <n v="101.27"/>
    <n v="60.73"/>
    <n v="0.37490000000000001"/>
    <n v="0.62509999999999999"/>
    <n v="201"/>
    <n v="0.2077"/>
    <x v="1"/>
    <x v="1"/>
  </r>
  <r>
    <s v="ORD-00280"/>
    <x v="9"/>
    <x v="4"/>
    <x v="2"/>
    <x v="0"/>
    <x v="4"/>
    <x v="0"/>
    <x v="1"/>
    <x v="0"/>
    <x v="7"/>
    <x v="9"/>
    <x v="5"/>
    <n v="560"/>
    <n v="532"/>
    <n v="287.99"/>
    <n v="244.01"/>
    <n v="0.4587"/>
    <n v="0.5413"/>
    <n v="423"/>
    <n v="0.79169999999999996"/>
    <x v="1"/>
    <x v="1"/>
  </r>
  <r>
    <s v="ORD-00281"/>
    <x v="239"/>
    <x v="1"/>
    <x v="0"/>
    <x v="0"/>
    <x v="4"/>
    <x v="1"/>
    <x v="0"/>
    <x v="1"/>
    <x v="1"/>
    <x v="6"/>
    <x v="5"/>
    <n v="2500"/>
    <n v="2375"/>
    <n v="1726.79"/>
    <n v="648.21"/>
    <n v="0.27289999999999998"/>
    <n v="0.72709999999999997"/>
    <n v="2758"/>
    <n v="3.2986"/>
    <x v="1"/>
    <x v="1"/>
  </r>
  <r>
    <s v="ORD-00282"/>
    <x v="240"/>
    <x v="5"/>
    <x v="3"/>
    <x v="2"/>
    <x v="1"/>
    <x v="3"/>
    <x v="1"/>
    <x v="0"/>
    <x v="3"/>
    <x v="3"/>
    <x v="5"/>
    <n v="900"/>
    <n v="855"/>
    <n v="549.12"/>
    <n v="305.88"/>
    <n v="0.35780000000000001"/>
    <n v="0.64219999999999999"/>
    <n v="916"/>
    <n v="1.0962000000000001"/>
    <x v="1"/>
    <x v="1"/>
  </r>
  <r>
    <s v="ORD-00283"/>
    <x v="241"/>
    <x v="3"/>
    <x v="2"/>
    <x v="1"/>
    <x v="2"/>
    <x v="0"/>
    <x v="0"/>
    <x v="0"/>
    <x v="3"/>
    <x v="8"/>
    <x v="0"/>
    <n v="600"/>
    <n v="582"/>
    <n v="390.84"/>
    <n v="191.16"/>
    <n v="0.32850000000000001"/>
    <n v="0.67149999999999999"/>
    <n v="609"/>
    <n v="0.6159"/>
    <x v="0"/>
    <x v="3"/>
  </r>
  <r>
    <s v="ORD-00284"/>
    <x v="78"/>
    <x v="5"/>
    <x v="3"/>
    <x v="0"/>
    <x v="0"/>
    <x v="2"/>
    <x v="0"/>
    <x v="0"/>
    <x v="1"/>
    <x v="2"/>
    <x v="3"/>
    <n v="1000"/>
    <n v="1000"/>
    <n v="737.42"/>
    <n v="262.58"/>
    <n v="0.2626"/>
    <n v="0.73740000000000006"/>
    <n v="587"/>
    <n v="1.3889"/>
    <x v="0"/>
    <x v="2"/>
  </r>
  <r>
    <s v="ORD-00285"/>
    <x v="242"/>
    <x v="0"/>
    <x v="0"/>
    <x v="2"/>
    <x v="2"/>
    <x v="2"/>
    <x v="1"/>
    <x v="1"/>
    <x v="7"/>
    <x v="7"/>
    <x v="3"/>
    <n v="420"/>
    <n v="420"/>
    <n v="227.86"/>
    <n v="192.14"/>
    <n v="0.45750000000000002"/>
    <n v="0.54249999999999998"/>
    <n v="453"/>
    <n v="0.61580000000000001"/>
    <x v="1"/>
    <x v="1"/>
  </r>
  <r>
    <s v="ORD-00286"/>
    <x v="243"/>
    <x v="1"/>
    <x v="0"/>
    <x v="3"/>
    <x v="2"/>
    <x v="2"/>
    <x v="0"/>
    <x v="0"/>
    <x v="5"/>
    <x v="9"/>
    <x v="4"/>
    <n v="80"/>
    <n v="72"/>
    <n v="46.59"/>
    <n v="25.41"/>
    <n v="0.35289999999999999"/>
    <n v="0.64710000000000001"/>
    <n v="76"/>
    <n v="0.09"/>
    <x v="0"/>
    <x v="7"/>
  </r>
  <r>
    <s v="ORD-00287"/>
    <x v="244"/>
    <x v="5"/>
    <x v="3"/>
    <x v="2"/>
    <x v="3"/>
    <x v="0"/>
    <x v="0"/>
    <x v="0"/>
    <x v="0"/>
    <x v="9"/>
    <x v="5"/>
    <n v="320"/>
    <n v="304"/>
    <n v="242.84"/>
    <n v="61.16"/>
    <n v="0.20119999999999999"/>
    <n v="0.79879999999999995"/>
    <n v="403"/>
    <n v="0.41760000000000003"/>
    <x v="1"/>
    <x v="1"/>
  </r>
  <r>
    <s v="ORD-00288"/>
    <x v="190"/>
    <x v="2"/>
    <x v="1"/>
    <x v="1"/>
    <x v="0"/>
    <x v="0"/>
    <x v="0"/>
    <x v="0"/>
    <x v="0"/>
    <x v="9"/>
    <x v="2"/>
    <n v="320"/>
    <n v="294.39999999999998"/>
    <n v="217.53"/>
    <n v="76.87"/>
    <n v="0.2611"/>
    <n v="0.7389"/>
    <n v="360"/>
    <n v="0.27260000000000001"/>
    <x v="1"/>
    <x v="1"/>
  </r>
  <r>
    <s v="ORD-00289"/>
    <x v="17"/>
    <x v="4"/>
    <x v="2"/>
    <x v="4"/>
    <x v="3"/>
    <x v="0"/>
    <x v="1"/>
    <x v="0"/>
    <x v="1"/>
    <x v="4"/>
    <x v="1"/>
    <n v="200"/>
    <n v="170"/>
    <n v="108.13"/>
    <n v="61.87"/>
    <n v="0.3639"/>
    <n v="0.6361"/>
    <n v="184"/>
    <n v="0.22670000000000001"/>
    <x v="1"/>
    <x v="1"/>
  </r>
  <r>
    <s v="ORD-00290"/>
    <x v="151"/>
    <x v="3"/>
    <x v="2"/>
    <x v="0"/>
    <x v="0"/>
    <x v="1"/>
    <x v="0"/>
    <x v="0"/>
    <x v="2"/>
    <x v="6"/>
    <x v="2"/>
    <n v="1000"/>
    <n v="920"/>
    <n v="593.94000000000005"/>
    <n v="326.06"/>
    <n v="0.35439999999999999"/>
    <n v="0.64559999999999995"/>
    <n v="1382"/>
    <n v="1.5333000000000001"/>
    <x v="1"/>
    <x v="1"/>
  </r>
  <r>
    <s v="ORD-00291"/>
    <x v="74"/>
    <x v="2"/>
    <x v="1"/>
    <x v="3"/>
    <x v="1"/>
    <x v="0"/>
    <x v="0"/>
    <x v="0"/>
    <x v="0"/>
    <x v="9"/>
    <x v="4"/>
    <n v="320"/>
    <n v="288"/>
    <n v="144.19"/>
    <n v="143.81"/>
    <n v="0.49930000000000002"/>
    <n v="0.50070000000000003"/>
    <n v="135"/>
    <n v="0.34289999999999998"/>
    <x v="1"/>
    <x v="1"/>
  </r>
  <r>
    <s v="ORD-00292"/>
    <x v="245"/>
    <x v="5"/>
    <x v="3"/>
    <x v="2"/>
    <x v="3"/>
    <x v="3"/>
    <x v="1"/>
    <x v="0"/>
    <x v="5"/>
    <x v="7"/>
    <x v="5"/>
    <n v="60"/>
    <n v="57"/>
    <n v="37.049999999999997"/>
    <n v="19.95"/>
    <n v="0.35"/>
    <n v="0.65"/>
    <n v="69"/>
    <n v="8.3599999999999994E-2"/>
    <x v="1"/>
    <x v="1"/>
  </r>
  <r>
    <s v="ORD-00293"/>
    <x v="47"/>
    <x v="4"/>
    <x v="2"/>
    <x v="4"/>
    <x v="4"/>
    <x v="3"/>
    <x v="1"/>
    <x v="0"/>
    <x v="2"/>
    <x v="7"/>
    <x v="0"/>
    <n v="120"/>
    <n v="116.4"/>
    <n v="74.27"/>
    <n v="42.13"/>
    <n v="0.3619"/>
    <n v="0.6381"/>
    <n v="144"/>
    <n v="0.1293"/>
    <x v="1"/>
    <x v="1"/>
  </r>
  <r>
    <s v="ORD-00294"/>
    <x v="246"/>
    <x v="4"/>
    <x v="2"/>
    <x v="4"/>
    <x v="5"/>
    <x v="0"/>
    <x v="1"/>
    <x v="0"/>
    <x v="1"/>
    <x v="0"/>
    <x v="3"/>
    <n v="1500"/>
    <n v="1500"/>
    <n v="882.03"/>
    <n v="617.97"/>
    <n v="0.41199999999999998"/>
    <n v="0.58799999999999997"/>
    <n v="1106"/>
    <n v="1.9036"/>
    <x v="1"/>
    <x v="1"/>
  </r>
  <r>
    <s v="ORD-00295"/>
    <x v="127"/>
    <x v="1"/>
    <x v="0"/>
    <x v="2"/>
    <x v="4"/>
    <x v="3"/>
    <x v="1"/>
    <x v="0"/>
    <x v="5"/>
    <x v="2"/>
    <x v="4"/>
    <n v="200"/>
    <n v="180"/>
    <n v="126.36"/>
    <n v="53.64"/>
    <n v="0.29799999999999999"/>
    <n v="0.70199999999999996"/>
    <n v="143"/>
    <n v="0.24729999999999999"/>
    <x v="1"/>
    <x v="1"/>
  </r>
  <r>
    <s v="ORD-00296"/>
    <x v="0"/>
    <x v="4"/>
    <x v="2"/>
    <x v="1"/>
    <x v="3"/>
    <x v="2"/>
    <x v="1"/>
    <x v="0"/>
    <x v="4"/>
    <x v="8"/>
    <x v="0"/>
    <n v="300"/>
    <n v="291"/>
    <n v="182.58"/>
    <n v="108.42"/>
    <n v="0.37259999999999999"/>
    <n v="0.62739999999999996"/>
    <n v="196"/>
    <n v="0.28870000000000001"/>
    <x v="1"/>
    <x v="1"/>
  </r>
  <r>
    <s v="ORD-00297"/>
    <x v="247"/>
    <x v="4"/>
    <x v="2"/>
    <x v="1"/>
    <x v="1"/>
    <x v="2"/>
    <x v="1"/>
    <x v="0"/>
    <x v="2"/>
    <x v="7"/>
    <x v="3"/>
    <n v="120"/>
    <n v="120"/>
    <n v="80.16"/>
    <n v="39.840000000000003"/>
    <n v="0.33200000000000002"/>
    <n v="0.66800000000000004"/>
    <n v="72"/>
    <n v="0.127"/>
    <x v="1"/>
    <x v="1"/>
  </r>
  <r>
    <s v="ORD-00298"/>
    <x v="129"/>
    <x v="1"/>
    <x v="0"/>
    <x v="1"/>
    <x v="2"/>
    <x v="3"/>
    <x v="0"/>
    <x v="1"/>
    <x v="2"/>
    <x v="3"/>
    <x v="2"/>
    <n v="300"/>
    <n v="276"/>
    <n v="161.72999999999999"/>
    <n v="114.27"/>
    <n v="0.41399999999999998"/>
    <n v="0.58599999999999997"/>
    <n v="325"/>
    <n v="0.25559999999999999"/>
    <x v="1"/>
    <x v="1"/>
  </r>
  <r>
    <s v="ORD-00299"/>
    <x v="248"/>
    <x v="5"/>
    <x v="3"/>
    <x v="0"/>
    <x v="2"/>
    <x v="0"/>
    <x v="0"/>
    <x v="1"/>
    <x v="7"/>
    <x v="2"/>
    <x v="3"/>
    <n v="1400"/>
    <n v="1400"/>
    <n v="769.05"/>
    <n v="630.95000000000005"/>
    <n v="0.45069999999999999"/>
    <n v="0.54930000000000001"/>
    <n v="1727"/>
    <n v="2.0832999999999999"/>
    <x v="1"/>
    <x v="1"/>
  </r>
  <r>
    <s v="ORD-00300"/>
    <x v="249"/>
    <x v="5"/>
    <x v="3"/>
    <x v="3"/>
    <x v="4"/>
    <x v="0"/>
    <x v="0"/>
    <x v="0"/>
    <x v="1"/>
    <x v="9"/>
    <x v="5"/>
    <n v="400"/>
    <n v="380"/>
    <n v="298.08999999999997"/>
    <n v="81.91"/>
    <n v="0.21560000000000001"/>
    <n v="0.78439999999999999"/>
    <n v="403"/>
    <n v="0.39579999999999999"/>
    <x v="0"/>
    <x v="2"/>
  </r>
  <r>
    <s v="ORD-00301"/>
    <x v="250"/>
    <x v="5"/>
    <x v="3"/>
    <x v="3"/>
    <x v="1"/>
    <x v="0"/>
    <x v="0"/>
    <x v="0"/>
    <x v="0"/>
    <x v="3"/>
    <x v="4"/>
    <n v="600"/>
    <n v="540"/>
    <n v="350.26"/>
    <n v="189.74"/>
    <n v="0.35139999999999999"/>
    <n v="0.64859999999999995"/>
    <n v="666"/>
    <n v="0.64290000000000003"/>
    <x v="1"/>
    <x v="1"/>
  </r>
  <r>
    <s v="ORD-00302"/>
    <x v="251"/>
    <x v="2"/>
    <x v="1"/>
    <x v="0"/>
    <x v="1"/>
    <x v="1"/>
    <x v="0"/>
    <x v="1"/>
    <x v="0"/>
    <x v="4"/>
    <x v="0"/>
    <n v="160"/>
    <n v="155.19999999999999"/>
    <n v="89.01"/>
    <n v="66.19"/>
    <n v="0.42649999999999999"/>
    <n v="0.57350000000000001"/>
    <n v="115"/>
    <n v="0.23100000000000001"/>
    <x v="1"/>
    <x v="1"/>
  </r>
  <r>
    <s v="ORD-00303"/>
    <x v="252"/>
    <x v="1"/>
    <x v="0"/>
    <x v="1"/>
    <x v="5"/>
    <x v="1"/>
    <x v="0"/>
    <x v="0"/>
    <x v="0"/>
    <x v="9"/>
    <x v="5"/>
    <n v="320"/>
    <n v="304"/>
    <n v="180.86"/>
    <n v="123.14"/>
    <n v="0.40510000000000002"/>
    <n v="0.59489999999999998"/>
    <n v="372"/>
    <n v="0.33779999999999999"/>
    <x v="1"/>
    <x v="1"/>
  </r>
  <r>
    <s v="ORD-00304"/>
    <x v="253"/>
    <x v="5"/>
    <x v="3"/>
    <x v="2"/>
    <x v="0"/>
    <x v="2"/>
    <x v="1"/>
    <x v="0"/>
    <x v="7"/>
    <x v="8"/>
    <x v="3"/>
    <n v="700"/>
    <n v="700"/>
    <n v="504.33"/>
    <n v="195.67"/>
    <n v="0.27950000000000003"/>
    <n v="0.72050000000000003"/>
    <n v="414"/>
    <n v="0.89739999999999998"/>
    <x v="1"/>
    <x v="1"/>
  </r>
  <r>
    <s v="ORD-00305"/>
    <x v="254"/>
    <x v="3"/>
    <x v="2"/>
    <x v="2"/>
    <x v="4"/>
    <x v="2"/>
    <x v="0"/>
    <x v="0"/>
    <x v="3"/>
    <x v="5"/>
    <x v="2"/>
    <n v="4500"/>
    <n v="4140"/>
    <n v="2473.27"/>
    <n v="1666.73"/>
    <n v="0.40260000000000001"/>
    <n v="0.59740000000000004"/>
    <n v="2475"/>
    <n v="6.0704000000000002"/>
    <x v="1"/>
    <x v="1"/>
  </r>
  <r>
    <s v="ORD-00306"/>
    <x v="68"/>
    <x v="2"/>
    <x v="1"/>
    <x v="4"/>
    <x v="1"/>
    <x v="3"/>
    <x v="1"/>
    <x v="0"/>
    <x v="1"/>
    <x v="6"/>
    <x v="5"/>
    <n v="2500"/>
    <n v="2375"/>
    <n v="1708.65"/>
    <n v="666.35"/>
    <n v="0.28060000000000002"/>
    <n v="0.71940000000000004"/>
    <n v="1099"/>
    <n v="3.1667000000000001"/>
    <x v="1"/>
    <x v="1"/>
  </r>
  <r>
    <s v="ORD-00307"/>
    <x v="255"/>
    <x v="2"/>
    <x v="1"/>
    <x v="0"/>
    <x v="0"/>
    <x v="1"/>
    <x v="0"/>
    <x v="1"/>
    <x v="4"/>
    <x v="2"/>
    <x v="2"/>
    <n v="600"/>
    <n v="552"/>
    <n v="315.58"/>
    <n v="236.42"/>
    <n v="0.42830000000000001"/>
    <n v="0.57169999999999999"/>
    <n v="674"/>
    <n v="0.87619999999999998"/>
    <x v="1"/>
    <x v="1"/>
  </r>
  <r>
    <s v="ORD-00308"/>
    <x v="256"/>
    <x v="5"/>
    <x v="3"/>
    <x v="4"/>
    <x v="2"/>
    <x v="0"/>
    <x v="1"/>
    <x v="0"/>
    <x v="1"/>
    <x v="1"/>
    <x v="1"/>
    <n v="125"/>
    <n v="106.25"/>
    <n v="71.36"/>
    <n v="34.89"/>
    <n v="0.32840000000000003"/>
    <n v="0.67159999999999997"/>
    <n v="205"/>
    <n v="0.1348"/>
    <x v="1"/>
    <x v="1"/>
  </r>
  <r>
    <s v="ORD-00309"/>
    <x v="257"/>
    <x v="3"/>
    <x v="2"/>
    <x v="0"/>
    <x v="2"/>
    <x v="1"/>
    <x v="0"/>
    <x v="0"/>
    <x v="5"/>
    <x v="3"/>
    <x v="4"/>
    <n v="150"/>
    <n v="135"/>
    <n v="71.150000000000006"/>
    <n v="63.85"/>
    <n v="0.47299999999999998"/>
    <n v="0.52700000000000002"/>
    <n v="164"/>
    <n v="0.22500000000000001"/>
    <x v="1"/>
    <x v="1"/>
  </r>
  <r>
    <s v="ORD-00310"/>
    <x v="258"/>
    <x v="5"/>
    <x v="3"/>
    <x v="2"/>
    <x v="3"/>
    <x v="2"/>
    <x v="0"/>
    <x v="0"/>
    <x v="1"/>
    <x v="7"/>
    <x v="5"/>
    <n v="300"/>
    <n v="285"/>
    <n v="155.4"/>
    <n v="129.6"/>
    <n v="0.45469999999999999"/>
    <n v="0.54530000000000001"/>
    <n v="329"/>
    <n v="0.41789999999999999"/>
    <x v="1"/>
    <x v="1"/>
  </r>
  <r>
    <s v="ORD-00311"/>
    <x v="128"/>
    <x v="5"/>
    <x v="3"/>
    <x v="1"/>
    <x v="3"/>
    <x v="3"/>
    <x v="1"/>
    <x v="1"/>
    <x v="1"/>
    <x v="5"/>
    <x v="3"/>
    <n v="3750"/>
    <n v="3750"/>
    <n v="2869.02"/>
    <n v="880.98"/>
    <n v="0.2349"/>
    <n v="0.7651"/>
    <n v="2945"/>
    <n v="3.4722"/>
    <x v="0"/>
    <x v="2"/>
  </r>
  <r>
    <s v="ORD-00312"/>
    <x v="259"/>
    <x v="4"/>
    <x v="2"/>
    <x v="1"/>
    <x v="2"/>
    <x v="3"/>
    <x v="0"/>
    <x v="0"/>
    <x v="0"/>
    <x v="5"/>
    <x v="3"/>
    <n v="3000"/>
    <n v="3000"/>
    <n v="2363.12"/>
    <n v="636.88"/>
    <n v="0.21229999999999999"/>
    <n v="0.78769999999999996"/>
    <n v="3600"/>
    <n v="2.9762"/>
    <x v="1"/>
    <x v="1"/>
  </r>
  <r>
    <s v="ORD-00313"/>
    <x v="260"/>
    <x v="5"/>
    <x v="3"/>
    <x v="1"/>
    <x v="0"/>
    <x v="3"/>
    <x v="0"/>
    <x v="1"/>
    <x v="1"/>
    <x v="9"/>
    <x v="1"/>
    <n v="400"/>
    <n v="340"/>
    <n v="192.29"/>
    <n v="147.71"/>
    <n v="0.43440000000000001"/>
    <n v="0.56559999999999999"/>
    <n v="397"/>
    <n v="0.33729999999999999"/>
    <x v="1"/>
    <x v="1"/>
  </r>
  <r>
    <s v="ORD-00314"/>
    <x v="261"/>
    <x v="0"/>
    <x v="0"/>
    <x v="1"/>
    <x v="4"/>
    <x v="3"/>
    <x v="0"/>
    <x v="0"/>
    <x v="0"/>
    <x v="6"/>
    <x v="3"/>
    <n v="2000"/>
    <n v="2000"/>
    <n v="1328.57"/>
    <n v="671.43"/>
    <n v="0.3357"/>
    <n v="0.6643"/>
    <n v="1723"/>
    <n v="2.2222"/>
    <x v="1"/>
    <x v="1"/>
  </r>
  <r>
    <s v="ORD-00315"/>
    <x v="262"/>
    <x v="3"/>
    <x v="2"/>
    <x v="1"/>
    <x v="2"/>
    <x v="1"/>
    <x v="0"/>
    <x v="0"/>
    <x v="5"/>
    <x v="5"/>
    <x v="2"/>
    <n v="750"/>
    <n v="690"/>
    <n v="450.11"/>
    <n v="239.89"/>
    <n v="0.34770000000000001"/>
    <n v="0.65229999999999999"/>
    <n v="843"/>
    <n v="0.73019999999999996"/>
    <x v="1"/>
    <x v="1"/>
  </r>
  <r>
    <s v="ORD-00316"/>
    <x v="263"/>
    <x v="2"/>
    <x v="1"/>
    <x v="2"/>
    <x v="4"/>
    <x v="2"/>
    <x v="0"/>
    <x v="1"/>
    <x v="2"/>
    <x v="5"/>
    <x v="2"/>
    <n v="1500"/>
    <n v="1380"/>
    <n v="787.19"/>
    <n v="592.80999999999995"/>
    <n v="0.42959999999999998"/>
    <n v="0.57040000000000002"/>
    <n v="812"/>
    <n v="2.0234999999999999"/>
    <x v="1"/>
    <x v="1"/>
  </r>
  <r>
    <s v="ORD-00317"/>
    <x v="264"/>
    <x v="1"/>
    <x v="0"/>
    <x v="1"/>
    <x v="0"/>
    <x v="1"/>
    <x v="0"/>
    <x v="0"/>
    <x v="5"/>
    <x v="4"/>
    <x v="3"/>
    <n v="40"/>
    <n v="40"/>
    <n v="27.25"/>
    <n v="12.75"/>
    <n v="0.31879999999999997"/>
    <n v="0.68120000000000003"/>
    <n v="47"/>
    <n v="3.6999999999999998E-2"/>
    <x v="1"/>
    <x v="1"/>
  </r>
  <r>
    <s v="ORD-00318"/>
    <x v="125"/>
    <x v="5"/>
    <x v="3"/>
    <x v="0"/>
    <x v="4"/>
    <x v="2"/>
    <x v="0"/>
    <x v="0"/>
    <x v="1"/>
    <x v="3"/>
    <x v="3"/>
    <n v="750"/>
    <n v="750"/>
    <n v="573.59"/>
    <n v="176.41"/>
    <n v="0.23519999999999999"/>
    <n v="0.76480000000000004"/>
    <n v="1254"/>
    <n v="1.1161000000000001"/>
    <x v="1"/>
    <x v="1"/>
  </r>
  <r>
    <s v="ORD-00319"/>
    <x v="265"/>
    <x v="1"/>
    <x v="0"/>
    <x v="1"/>
    <x v="0"/>
    <x v="1"/>
    <x v="0"/>
    <x v="0"/>
    <x v="1"/>
    <x v="0"/>
    <x v="3"/>
    <n v="1500"/>
    <n v="1500"/>
    <n v="881.79"/>
    <n v="618.21"/>
    <n v="0.41210000000000002"/>
    <n v="0.58789999999999998"/>
    <n v="992"/>
    <n v="1.6667000000000001"/>
    <x v="1"/>
    <x v="1"/>
  </r>
  <r>
    <s v="ORD-00320"/>
    <x v="152"/>
    <x v="5"/>
    <x v="3"/>
    <x v="1"/>
    <x v="0"/>
    <x v="1"/>
    <x v="1"/>
    <x v="0"/>
    <x v="0"/>
    <x v="8"/>
    <x v="3"/>
    <n v="400"/>
    <n v="400"/>
    <n v="225.8"/>
    <n v="174.2"/>
    <n v="0.4355"/>
    <n v="0.5645"/>
    <n v="616"/>
    <n v="0.44440000000000002"/>
    <x v="0"/>
    <x v="0"/>
  </r>
  <r>
    <s v="ORD-00321"/>
    <x v="266"/>
    <x v="2"/>
    <x v="1"/>
    <x v="0"/>
    <x v="0"/>
    <x v="3"/>
    <x v="1"/>
    <x v="0"/>
    <x v="3"/>
    <x v="9"/>
    <x v="2"/>
    <n v="480"/>
    <n v="441.6"/>
    <n v="189.89"/>
    <n v="251.71"/>
    <n v="0.56999999999999995"/>
    <n v="0.43"/>
    <n v="464"/>
    <n v="0.70099999999999996"/>
    <x v="1"/>
    <x v="1"/>
  </r>
  <r>
    <s v="ORD-00322"/>
    <x v="267"/>
    <x v="5"/>
    <x v="3"/>
    <x v="0"/>
    <x v="4"/>
    <x v="1"/>
    <x v="0"/>
    <x v="0"/>
    <x v="3"/>
    <x v="5"/>
    <x v="3"/>
    <n v="4500"/>
    <n v="4500"/>
    <n v="3500.81"/>
    <n v="999.19"/>
    <n v="0.222"/>
    <n v="0.77800000000000002"/>
    <n v="2084"/>
    <n v="6.25"/>
    <x v="1"/>
    <x v="1"/>
  </r>
  <r>
    <s v="ORD-00323"/>
    <x v="268"/>
    <x v="0"/>
    <x v="0"/>
    <x v="1"/>
    <x v="0"/>
    <x v="2"/>
    <x v="0"/>
    <x v="0"/>
    <x v="4"/>
    <x v="3"/>
    <x v="5"/>
    <n v="450"/>
    <n v="427.5"/>
    <n v="245.19"/>
    <n v="182.31"/>
    <n v="0.42649999999999999"/>
    <n v="0.57350000000000001"/>
    <n v="496"/>
    <n v="0.47499999999999998"/>
    <x v="1"/>
    <x v="1"/>
  </r>
  <r>
    <s v="ORD-00324"/>
    <x v="269"/>
    <x v="2"/>
    <x v="1"/>
    <x v="0"/>
    <x v="1"/>
    <x v="2"/>
    <x v="0"/>
    <x v="1"/>
    <x v="3"/>
    <x v="9"/>
    <x v="0"/>
    <n v="480"/>
    <n v="465.6"/>
    <n v="280.70999999999998"/>
    <n v="184.89"/>
    <n v="0.39710000000000001"/>
    <n v="0.60289999999999999"/>
    <n v="366"/>
    <n v="0.77600000000000002"/>
    <x v="1"/>
    <x v="1"/>
  </r>
  <r>
    <s v="ORD-00325"/>
    <x v="175"/>
    <x v="2"/>
    <x v="1"/>
    <x v="3"/>
    <x v="4"/>
    <x v="1"/>
    <x v="0"/>
    <x v="0"/>
    <x v="0"/>
    <x v="0"/>
    <x v="5"/>
    <n v="1200"/>
    <n v="1140"/>
    <n v="616.07000000000005"/>
    <n v="523.92999999999995"/>
    <n v="0.45960000000000001"/>
    <n v="0.54039999999999999"/>
    <n v="860"/>
    <n v="1.2723"/>
    <x v="1"/>
    <x v="1"/>
  </r>
  <r>
    <s v="ORD-00326"/>
    <x v="42"/>
    <x v="3"/>
    <x v="2"/>
    <x v="2"/>
    <x v="1"/>
    <x v="2"/>
    <x v="1"/>
    <x v="0"/>
    <x v="2"/>
    <x v="2"/>
    <x v="3"/>
    <n v="400"/>
    <n v="400"/>
    <n v="284.48"/>
    <n v="115.52"/>
    <n v="0.2888"/>
    <n v="0.71120000000000005"/>
    <n v="317"/>
    <n v="0.51280000000000003"/>
    <x v="1"/>
    <x v="1"/>
  </r>
  <r>
    <s v="ORD-00327"/>
    <x v="270"/>
    <x v="1"/>
    <x v="0"/>
    <x v="3"/>
    <x v="5"/>
    <x v="1"/>
    <x v="0"/>
    <x v="0"/>
    <x v="1"/>
    <x v="0"/>
    <x v="3"/>
    <n v="1500"/>
    <n v="1500"/>
    <n v="768.61"/>
    <n v="731.39"/>
    <n v="0.48759999999999998"/>
    <n v="0.51239999999999997"/>
    <n v="2033"/>
    <n v="1.6740999999999999"/>
    <x v="1"/>
    <x v="1"/>
  </r>
  <r>
    <s v="ORD-00328"/>
    <x v="185"/>
    <x v="2"/>
    <x v="1"/>
    <x v="1"/>
    <x v="3"/>
    <x v="1"/>
    <x v="0"/>
    <x v="0"/>
    <x v="5"/>
    <x v="4"/>
    <x v="5"/>
    <n v="40"/>
    <n v="38"/>
    <n v="22.99"/>
    <n v="15.01"/>
    <n v="0.39500000000000002"/>
    <n v="0.60499999999999998"/>
    <n v="88"/>
    <n v="4.2200000000000001E-2"/>
    <x v="0"/>
    <x v="7"/>
  </r>
  <r>
    <s v="ORD-00329"/>
    <x v="271"/>
    <x v="5"/>
    <x v="3"/>
    <x v="1"/>
    <x v="3"/>
    <x v="0"/>
    <x v="0"/>
    <x v="0"/>
    <x v="7"/>
    <x v="3"/>
    <x v="3"/>
    <n v="1050"/>
    <n v="1050"/>
    <n v="618.29999999999995"/>
    <n v="431.7"/>
    <n v="0.41110000000000002"/>
    <n v="0.58889999999999998"/>
    <n v="1292"/>
    <n v="1.1111"/>
    <x v="1"/>
    <x v="1"/>
  </r>
  <r>
    <s v="ORD-00330"/>
    <x v="237"/>
    <x v="2"/>
    <x v="1"/>
    <x v="0"/>
    <x v="2"/>
    <x v="3"/>
    <x v="1"/>
    <x v="1"/>
    <x v="3"/>
    <x v="0"/>
    <x v="5"/>
    <n v="1800"/>
    <n v="1710"/>
    <n v="939.25"/>
    <n v="770.75"/>
    <n v="0.45069999999999999"/>
    <n v="0.54930000000000001"/>
    <n v="2824"/>
    <n v="2.7143000000000002"/>
    <x v="1"/>
    <x v="1"/>
  </r>
  <r>
    <s v="ORD-00331"/>
    <x v="161"/>
    <x v="2"/>
    <x v="1"/>
    <x v="2"/>
    <x v="4"/>
    <x v="0"/>
    <x v="0"/>
    <x v="1"/>
    <x v="2"/>
    <x v="6"/>
    <x v="2"/>
    <n v="1000"/>
    <n v="920"/>
    <n v="557.07000000000005"/>
    <n v="362.93"/>
    <n v="0.39450000000000002"/>
    <n v="0.60550000000000004"/>
    <n v="731"/>
    <n v="1.4154"/>
    <x v="1"/>
    <x v="1"/>
  </r>
  <r>
    <s v="ORD-00332"/>
    <x v="272"/>
    <x v="4"/>
    <x v="2"/>
    <x v="1"/>
    <x v="0"/>
    <x v="0"/>
    <x v="0"/>
    <x v="0"/>
    <x v="4"/>
    <x v="4"/>
    <x v="0"/>
    <n v="120"/>
    <n v="116.4"/>
    <n v="82.24"/>
    <n v="34.159999999999997"/>
    <n v="0.29349999999999998"/>
    <n v="0.70650000000000002"/>
    <n v="141"/>
    <n v="0.1232"/>
    <x v="0"/>
    <x v="5"/>
  </r>
  <r>
    <s v="ORD-00333"/>
    <x v="273"/>
    <x v="1"/>
    <x v="0"/>
    <x v="4"/>
    <x v="3"/>
    <x v="3"/>
    <x v="1"/>
    <x v="0"/>
    <x v="3"/>
    <x v="9"/>
    <x v="2"/>
    <n v="480"/>
    <n v="441.6"/>
    <n v="303.97000000000003"/>
    <n v="137.63"/>
    <n v="0.31169999999999998"/>
    <n v="0.68830000000000002"/>
    <n v="331"/>
    <n v="0.49070000000000003"/>
    <x v="1"/>
    <x v="1"/>
  </r>
  <r>
    <s v="ORD-00334"/>
    <x v="274"/>
    <x v="3"/>
    <x v="2"/>
    <x v="0"/>
    <x v="1"/>
    <x v="1"/>
    <x v="0"/>
    <x v="0"/>
    <x v="0"/>
    <x v="2"/>
    <x v="2"/>
    <n v="800"/>
    <n v="736"/>
    <n v="526.14"/>
    <n v="209.86"/>
    <n v="0.28510000000000002"/>
    <n v="0.71489999999999998"/>
    <n v="585"/>
    <n v="1.1682999999999999"/>
    <x v="1"/>
    <x v="1"/>
  </r>
  <r>
    <s v="ORD-00335"/>
    <x v="231"/>
    <x v="4"/>
    <x v="2"/>
    <x v="2"/>
    <x v="3"/>
    <x v="1"/>
    <x v="1"/>
    <x v="1"/>
    <x v="2"/>
    <x v="9"/>
    <x v="1"/>
    <n v="160"/>
    <n v="136"/>
    <n v="77.47"/>
    <n v="58.53"/>
    <n v="0.4304"/>
    <n v="0.5696"/>
    <n v="106"/>
    <n v="0.18679999999999999"/>
    <x v="1"/>
    <x v="1"/>
  </r>
  <r>
    <s v="ORD-00336"/>
    <x v="195"/>
    <x v="5"/>
    <x v="3"/>
    <x v="1"/>
    <x v="3"/>
    <x v="3"/>
    <x v="1"/>
    <x v="0"/>
    <x v="4"/>
    <x v="2"/>
    <x v="0"/>
    <n v="600"/>
    <n v="582"/>
    <n v="326.76"/>
    <n v="255.24"/>
    <n v="0.43859999999999999"/>
    <n v="0.56140000000000001"/>
    <n v="607"/>
    <n v="0.64670000000000005"/>
    <x v="1"/>
    <x v="1"/>
  </r>
  <r>
    <s v="ORD-00337"/>
    <x v="275"/>
    <x v="4"/>
    <x v="2"/>
    <x v="2"/>
    <x v="5"/>
    <x v="0"/>
    <x v="1"/>
    <x v="0"/>
    <x v="2"/>
    <x v="7"/>
    <x v="5"/>
    <n v="120"/>
    <n v="114"/>
    <n v="82.09"/>
    <n v="31.91"/>
    <n v="0.27989999999999998"/>
    <n v="0.72009999999999996"/>
    <n v="119"/>
    <n v="0.16719999999999999"/>
    <x v="1"/>
    <x v="1"/>
  </r>
  <r>
    <s v="ORD-00338"/>
    <x v="276"/>
    <x v="2"/>
    <x v="1"/>
    <x v="0"/>
    <x v="3"/>
    <x v="1"/>
    <x v="0"/>
    <x v="0"/>
    <x v="2"/>
    <x v="4"/>
    <x v="4"/>
    <n v="80"/>
    <n v="72"/>
    <n v="37.869999999999997"/>
    <n v="34.130000000000003"/>
    <n v="0.47399999999999998"/>
    <n v="0.52600000000000002"/>
    <n v="87"/>
    <n v="0.12"/>
    <x v="1"/>
    <x v="1"/>
  </r>
  <r>
    <s v="ORD-00339"/>
    <x v="264"/>
    <x v="1"/>
    <x v="0"/>
    <x v="1"/>
    <x v="4"/>
    <x v="2"/>
    <x v="0"/>
    <x v="1"/>
    <x v="3"/>
    <x v="0"/>
    <x v="1"/>
    <n v="1800"/>
    <n v="1530"/>
    <n v="1112.3900000000001"/>
    <n v="417.61"/>
    <n v="0.27289999999999998"/>
    <n v="0.72709999999999997"/>
    <n v="1849"/>
    <n v="1.4167000000000001"/>
    <x v="1"/>
    <x v="1"/>
  </r>
  <r>
    <s v="ORD-00340"/>
    <x v="277"/>
    <x v="4"/>
    <x v="2"/>
    <x v="2"/>
    <x v="2"/>
    <x v="1"/>
    <x v="0"/>
    <x v="0"/>
    <x v="6"/>
    <x v="4"/>
    <x v="0"/>
    <n v="320"/>
    <n v="310.39999999999998"/>
    <n v="202.49"/>
    <n v="107.91"/>
    <n v="0.34760000000000002"/>
    <n v="0.65239999999999998"/>
    <n v="327"/>
    <n v="0.39789999999999998"/>
    <x v="1"/>
    <x v="1"/>
  </r>
  <r>
    <s v="ORD-00341"/>
    <x v="278"/>
    <x v="3"/>
    <x v="2"/>
    <x v="0"/>
    <x v="2"/>
    <x v="3"/>
    <x v="1"/>
    <x v="0"/>
    <x v="3"/>
    <x v="5"/>
    <x v="3"/>
    <n v="4500"/>
    <n v="4500"/>
    <n v="2231.87"/>
    <n v="2268.13"/>
    <n v="0.504"/>
    <n v="0.496"/>
    <n v="2063"/>
    <n v="7.5"/>
    <x v="1"/>
    <x v="1"/>
  </r>
  <r>
    <s v="ORD-00342"/>
    <x v="279"/>
    <x v="2"/>
    <x v="1"/>
    <x v="0"/>
    <x v="0"/>
    <x v="0"/>
    <x v="1"/>
    <x v="1"/>
    <x v="3"/>
    <x v="8"/>
    <x v="4"/>
    <n v="600"/>
    <n v="540"/>
    <n v="331.43"/>
    <n v="208.57"/>
    <n v="0.38619999999999999"/>
    <n v="0.61380000000000001"/>
    <n v="670"/>
    <n v="0.80359999999999998"/>
    <x v="0"/>
    <x v="3"/>
  </r>
  <r>
    <s v="ORD-00343"/>
    <x v="150"/>
    <x v="5"/>
    <x v="3"/>
    <x v="1"/>
    <x v="2"/>
    <x v="1"/>
    <x v="0"/>
    <x v="1"/>
    <x v="4"/>
    <x v="8"/>
    <x v="5"/>
    <n v="300"/>
    <n v="285"/>
    <n v="183.39"/>
    <n v="101.61"/>
    <n v="0.35649999999999998"/>
    <n v="0.64349999999999996"/>
    <n v="249"/>
    <n v="0.28270000000000001"/>
    <x v="1"/>
    <x v="1"/>
  </r>
  <r>
    <s v="ORD-00344"/>
    <x v="280"/>
    <x v="2"/>
    <x v="1"/>
    <x v="0"/>
    <x v="5"/>
    <x v="1"/>
    <x v="1"/>
    <x v="0"/>
    <x v="2"/>
    <x v="9"/>
    <x v="5"/>
    <n v="160"/>
    <n v="152"/>
    <n v="78.88"/>
    <n v="73.12"/>
    <n v="0.48110000000000003"/>
    <n v="0.51890000000000003"/>
    <n v="90"/>
    <n v="0.24129999999999999"/>
    <x v="1"/>
    <x v="1"/>
  </r>
  <r>
    <s v="ORD-00345"/>
    <x v="219"/>
    <x v="5"/>
    <x v="3"/>
    <x v="1"/>
    <x v="1"/>
    <x v="3"/>
    <x v="0"/>
    <x v="0"/>
    <x v="2"/>
    <x v="2"/>
    <x v="4"/>
    <n v="400"/>
    <n v="360"/>
    <n v="227.03"/>
    <n v="132.97"/>
    <n v="0.36940000000000001"/>
    <n v="0.63060000000000005"/>
    <n v="445"/>
    <n v="0.4"/>
    <x v="0"/>
    <x v="6"/>
  </r>
  <r>
    <s v="ORD-00346"/>
    <x v="146"/>
    <x v="4"/>
    <x v="2"/>
    <x v="4"/>
    <x v="5"/>
    <x v="3"/>
    <x v="0"/>
    <x v="0"/>
    <x v="0"/>
    <x v="3"/>
    <x v="2"/>
    <n v="600"/>
    <n v="552"/>
    <n v="403"/>
    <n v="149"/>
    <n v="0.26989999999999997"/>
    <n v="0.73009999999999997"/>
    <n v="683"/>
    <n v="0.61329999999999996"/>
    <x v="1"/>
    <x v="1"/>
  </r>
  <r>
    <s v="ORD-00347"/>
    <x v="281"/>
    <x v="2"/>
    <x v="1"/>
    <x v="3"/>
    <x v="1"/>
    <x v="1"/>
    <x v="1"/>
    <x v="1"/>
    <x v="1"/>
    <x v="6"/>
    <x v="3"/>
    <n v="2500"/>
    <n v="2500"/>
    <n v="1643.16"/>
    <n v="856.84"/>
    <n v="0.3427"/>
    <n v="0.6573"/>
    <n v="2723"/>
    <n v="2.9762"/>
    <x v="1"/>
    <x v="1"/>
  </r>
  <r>
    <s v="ORD-00348"/>
    <x v="2"/>
    <x v="4"/>
    <x v="2"/>
    <x v="1"/>
    <x v="3"/>
    <x v="3"/>
    <x v="0"/>
    <x v="0"/>
    <x v="7"/>
    <x v="1"/>
    <x v="4"/>
    <n v="175"/>
    <n v="157.5"/>
    <n v="100.15"/>
    <n v="57.35"/>
    <n v="0.36409999999999998"/>
    <n v="0.63590000000000002"/>
    <n v="165"/>
    <n v="0.14580000000000001"/>
    <x v="1"/>
    <x v="1"/>
  </r>
  <r>
    <s v="ORD-00349"/>
    <x v="282"/>
    <x v="0"/>
    <x v="0"/>
    <x v="4"/>
    <x v="4"/>
    <x v="2"/>
    <x v="0"/>
    <x v="0"/>
    <x v="1"/>
    <x v="3"/>
    <x v="5"/>
    <n v="750"/>
    <n v="712.5"/>
    <n v="517.07000000000005"/>
    <n v="195.43"/>
    <n v="0.27429999999999999"/>
    <n v="0.72570000000000001"/>
    <n v="755"/>
    <n v="0.95"/>
    <x v="1"/>
    <x v="1"/>
  </r>
  <r>
    <s v="ORD-00350"/>
    <x v="283"/>
    <x v="2"/>
    <x v="1"/>
    <x v="3"/>
    <x v="4"/>
    <x v="2"/>
    <x v="1"/>
    <x v="0"/>
    <x v="1"/>
    <x v="3"/>
    <x v="5"/>
    <n v="750"/>
    <n v="712.5"/>
    <n v="407.82"/>
    <n v="304.68"/>
    <n v="0.42759999999999998"/>
    <n v="0.57240000000000002"/>
    <n v="847"/>
    <n v="0.79520000000000002"/>
    <x v="1"/>
    <x v="1"/>
  </r>
  <r>
    <s v="ORD-00351"/>
    <x v="284"/>
    <x v="5"/>
    <x v="3"/>
    <x v="0"/>
    <x v="5"/>
    <x v="0"/>
    <x v="1"/>
    <x v="0"/>
    <x v="5"/>
    <x v="4"/>
    <x v="0"/>
    <n v="40"/>
    <n v="38.799999999999997"/>
    <n v="24.86"/>
    <n v="13.94"/>
    <n v="0.35930000000000001"/>
    <n v="0.64070000000000005"/>
    <n v="90"/>
    <n v="6.4699999999999994E-2"/>
    <x v="1"/>
    <x v="1"/>
  </r>
  <r>
    <s v="ORD-00352"/>
    <x v="285"/>
    <x v="5"/>
    <x v="3"/>
    <x v="2"/>
    <x v="1"/>
    <x v="1"/>
    <x v="1"/>
    <x v="0"/>
    <x v="0"/>
    <x v="6"/>
    <x v="0"/>
    <n v="2000"/>
    <n v="1940"/>
    <n v="1061.5"/>
    <n v="878.5"/>
    <n v="0.45279999999999998"/>
    <n v="0.54720000000000002"/>
    <n v="1136"/>
    <n v="2.8445999999999998"/>
    <x v="1"/>
    <x v="1"/>
  </r>
  <r>
    <s v="ORD-00353"/>
    <x v="286"/>
    <x v="2"/>
    <x v="1"/>
    <x v="1"/>
    <x v="5"/>
    <x v="3"/>
    <x v="0"/>
    <x v="0"/>
    <x v="1"/>
    <x v="7"/>
    <x v="0"/>
    <n v="300"/>
    <n v="291"/>
    <n v="181.7"/>
    <n v="109.3"/>
    <n v="0.37559999999999999"/>
    <n v="0.62439999999999996"/>
    <n v="252"/>
    <n v="0.28870000000000001"/>
    <x v="1"/>
    <x v="1"/>
  </r>
  <r>
    <s v="ORD-00354"/>
    <x v="287"/>
    <x v="1"/>
    <x v="0"/>
    <x v="2"/>
    <x v="2"/>
    <x v="1"/>
    <x v="0"/>
    <x v="0"/>
    <x v="5"/>
    <x v="4"/>
    <x v="5"/>
    <n v="40"/>
    <n v="38"/>
    <n v="21.65"/>
    <n v="16.350000000000001"/>
    <n v="0.43030000000000002"/>
    <n v="0.56969999999999998"/>
    <n v="88"/>
    <n v="5.2200000000000003E-2"/>
    <x v="1"/>
    <x v="1"/>
  </r>
  <r>
    <s v="ORD-00355"/>
    <x v="288"/>
    <x v="4"/>
    <x v="2"/>
    <x v="3"/>
    <x v="2"/>
    <x v="3"/>
    <x v="0"/>
    <x v="0"/>
    <x v="1"/>
    <x v="8"/>
    <x v="0"/>
    <n v="500"/>
    <n v="485"/>
    <n v="324.85000000000002"/>
    <n v="160.15"/>
    <n v="0.33019999999999999"/>
    <n v="0.66979999999999995"/>
    <n v="583"/>
    <n v="0.50519999999999998"/>
    <x v="1"/>
    <x v="1"/>
  </r>
  <r>
    <s v="ORD-00356"/>
    <x v="91"/>
    <x v="3"/>
    <x v="2"/>
    <x v="3"/>
    <x v="5"/>
    <x v="0"/>
    <x v="1"/>
    <x v="0"/>
    <x v="4"/>
    <x v="3"/>
    <x v="2"/>
    <n v="450"/>
    <n v="414"/>
    <n v="287.77999999999997"/>
    <n v="126.22"/>
    <n v="0.3049"/>
    <n v="0.69510000000000005"/>
    <n v="327"/>
    <n v="0.46210000000000001"/>
    <x v="1"/>
    <x v="1"/>
  </r>
  <r>
    <s v="ORD-00357"/>
    <x v="289"/>
    <x v="2"/>
    <x v="1"/>
    <x v="0"/>
    <x v="5"/>
    <x v="1"/>
    <x v="1"/>
    <x v="0"/>
    <x v="3"/>
    <x v="4"/>
    <x v="2"/>
    <n v="240"/>
    <n v="220.8"/>
    <n v="140.54"/>
    <n v="80.260000000000005"/>
    <n v="0.36349999999999999"/>
    <n v="0.63649999999999995"/>
    <n v="299"/>
    <n v="0.36799999999999999"/>
    <x v="1"/>
    <x v="1"/>
  </r>
  <r>
    <s v="ORD-00358"/>
    <x v="31"/>
    <x v="3"/>
    <x v="2"/>
    <x v="3"/>
    <x v="1"/>
    <x v="0"/>
    <x v="1"/>
    <x v="0"/>
    <x v="4"/>
    <x v="3"/>
    <x v="5"/>
    <n v="450"/>
    <n v="427.5"/>
    <n v="283.31"/>
    <n v="144.19"/>
    <n v="0.33729999999999999"/>
    <n v="0.66269999999999996"/>
    <n v="717"/>
    <n v="0.50890000000000002"/>
    <x v="1"/>
    <x v="1"/>
  </r>
  <r>
    <s v="ORD-00359"/>
    <x v="290"/>
    <x v="5"/>
    <x v="3"/>
    <x v="2"/>
    <x v="4"/>
    <x v="3"/>
    <x v="1"/>
    <x v="0"/>
    <x v="4"/>
    <x v="8"/>
    <x v="3"/>
    <n v="300"/>
    <n v="300"/>
    <n v="215.05"/>
    <n v="84.95"/>
    <n v="0.28320000000000001"/>
    <n v="0.71679999999999999"/>
    <n v="322"/>
    <n v="0.46150000000000002"/>
    <x v="1"/>
    <x v="1"/>
  </r>
  <r>
    <s v="ORD-00360"/>
    <x v="291"/>
    <x v="5"/>
    <x v="3"/>
    <x v="3"/>
    <x v="2"/>
    <x v="0"/>
    <x v="1"/>
    <x v="0"/>
    <x v="3"/>
    <x v="1"/>
    <x v="3"/>
    <n v="150"/>
    <n v="150"/>
    <n v="98.83"/>
    <n v="51.17"/>
    <n v="0.34110000000000001"/>
    <n v="0.65890000000000004"/>
    <n v="202"/>
    <n v="0.1875"/>
    <x v="1"/>
    <x v="1"/>
  </r>
  <r>
    <s v="ORD-00361"/>
    <x v="292"/>
    <x v="4"/>
    <x v="2"/>
    <x v="0"/>
    <x v="0"/>
    <x v="1"/>
    <x v="1"/>
    <x v="0"/>
    <x v="4"/>
    <x v="2"/>
    <x v="0"/>
    <n v="600"/>
    <n v="582"/>
    <n v="400.25"/>
    <n v="181.75"/>
    <n v="0.31230000000000002"/>
    <n v="0.68769999999999998"/>
    <n v="709"/>
    <n v="0.86609999999999998"/>
    <x v="1"/>
    <x v="1"/>
  </r>
  <r>
    <s v="ORD-00362"/>
    <x v="293"/>
    <x v="5"/>
    <x v="3"/>
    <x v="3"/>
    <x v="2"/>
    <x v="2"/>
    <x v="0"/>
    <x v="1"/>
    <x v="1"/>
    <x v="5"/>
    <x v="1"/>
    <n v="3750"/>
    <n v="3187.5"/>
    <n v="1920.47"/>
    <n v="1267.03"/>
    <n v="0.39750000000000002"/>
    <n v="0.60250000000000004"/>
    <n v="1864"/>
    <n v="3.3203"/>
    <x v="1"/>
    <x v="1"/>
  </r>
  <r>
    <s v="ORD-00363"/>
    <x v="251"/>
    <x v="0"/>
    <x v="0"/>
    <x v="4"/>
    <x v="3"/>
    <x v="3"/>
    <x v="1"/>
    <x v="1"/>
    <x v="0"/>
    <x v="8"/>
    <x v="5"/>
    <n v="400"/>
    <n v="380"/>
    <n v="257.97000000000003"/>
    <n v="122.03"/>
    <n v="0.3211"/>
    <n v="0.67889999999999995"/>
    <n v="624"/>
    <n v="0.45240000000000002"/>
    <x v="1"/>
    <x v="1"/>
  </r>
  <r>
    <s v="ORD-00364"/>
    <x v="38"/>
    <x v="0"/>
    <x v="0"/>
    <x v="4"/>
    <x v="0"/>
    <x v="1"/>
    <x v="1"/>
    <x v="0"/>
    <x v="3"/>
    <x v="0"/>
    <x v="3"/>
    <n v="1800"/>
    <n v="1800"/>
    <n v="1308.49"/>
    <n v="491.51"/>
    <n v="0.27310000000000001"/>
    <n v="0.72689999999999999"/>
    <n v="1183"/>
    <n v="2.4"/>
    <x v="1"/>
    <x v="1"/>
  </r>
  <r>
    <s v="ORD-00365"/>
    <x v="294"/>
    <x v="4"/>
    <x v="2"/>
    <x v="0"/>
    <x v="0"/>
    <x v="2"/>
    <x v="0"/>
    <x v="0"/>
    <x v="1"/>
    <x v="1"/>
    <x v="3"/>
    <n v="125"/>
    <n v="125"/>
    <n v="87.75"/>
    <n v="37.25"/>
    <n v="0.29799999999999999"/>
    <n v="0.70199999999999996"/>
    <n v="154"/>
    <n v="0.1736"/>
    <x v="1"/>
    <x v="1"/>
  </r>
  <r>
    <s v="ORD-00366"/>
    <x v="136"/>
    <x v="4"/>
    <x v="2"/>
    <x v="4"/>
    <x v="3"/>
    <x v="0"/>
    <x v="0"/>
    <x v="0"/>
    <x v="4"/>
    <x v="6"/>
    <x v="0"/>
    <n v="1500"/>
    <n v="1455"/>
    <n v="890.14"/>
    <n v="564.86"/>
    <n v="0.38819999999999999"/>
    <n v="0.61180000000000001"/>
    <n v="2207"/>
    <n v="1.94"/>
    <x v="1"/>
    <x v="1"/>
  </r>
  <r>
    <s v="ORD-00367"/>
    <x v="182"/>
    <x v="3"/>
    <x v="2"/>
    <x v="1"/>
    <x v="0"/>
    <x v="2"/>
    <x v="0"/>
    <x v="0"/>
    <x v="2"/>
    <x v="8"/>
    <x v="3"/>
    <n v="200"/>
    <n v="200"/>
    <n v="115.7"/>
    <n v="84.3"/>
    <n v="0.42149999999999999"/>
    <n v="0.57850000000000001"/>
    <n v="235"/>
    <n v="0.22220000000000001"/>
    <x v="1"/>
    <x v="1"/>
  </r>
  <r>
    <s v="ORD-00368"/>
    <x v="295"/>
    <x v="3"/>
    <x v="2"/>
    <x v="4"/>
    <x v="5"/>
    <x v="0"/>
    <x v="0"/>
    <x v="0"/>
    <x v="0"/>
    <x v="7"/>
    <x v="1"/>
    <n v="240"/>
    <n v="204"/>
    <n v="144.47999999999999"/>
    <n v="59.52"/>
    <n v="0.2918"/>
    <n v="0.70820000000000005"/>
    <n v="394"/>
    <n v="0.25890000000000002"/>
    <x v="0"/>
    <x v="0"/>
  </r>
  <r>
    <s v="ORD-00369"/>
    <x v="184"/>
    <x v="4"/>
    <x v="2"/>
    <x v="1"/>
    <x v="3"/>
    <x v="1"/>
    <x v="0"/>
    <x v="1"/>
    <x v="0"/>
    <x v="9"/>
    <x v="5"/>
    <n v="320"/>
    <n v="304"/>
    <n v="220.91"/>
    <n v="83.09"/>
    <n v="0.27329999999999999"/>
    <n v="0.72670000000000001"/>
    <n v="356"/>
    <n v="0.30159999999999998"/>
    <x v="1"/>
    <x v="1"/>
  </r>
  <r>
    <s v="ORD-00370"/>
    <x v="32"/>
    <x v="5"/>
    <x v="3"/>
    <x v="3"/>
    <x v="2"/>
    <x v="2"/>
    <x v="0"/>
    <x v="0"/>
    <x v="2"/>
    <x v="3"/>
    <x v="5"/>
    <n v="300"/>
    <n v="285"/>
    <n v="163.85"/>
    <n v="121.15"/>
    <n v="0.42509999999999998"/>
    <n v="0.57489999999999997"/>
    <n v="479"/>
    <n v="0.31809999999999999"/>
    <x v="1"/>
    <x v="1"/>
  </r>
  <r>
    <s v="ORD-00371"/>
    <x v="296"/>
    <x v="5"/>
    <x v="3"/>
    <x v="1"/>
    <x v="0"/>
    <x v="3"/>
    <x v="0"/>
    <x v="0"/>
    <x v="3"/>
    <x v="9"/>
    <x v="3"/>
    <n v="480"/>
    <n v="480"/>
    <n v="341.73"/>
    <n v="138.27000000000001"/>
    <n v="0.28810000000000002"/>
    <n v="0.71189999999999998"/>
    <n v="521"/>
    <n v="0.44440000000000002"/>
    <x v="1"/>
    <x v="1"/>
  </r>
  <r>
    <s v="ORD-00372"/>
    <x v="297"/>
    <x v="2"/>
    <x v="1"/>
    <x v="2"/>
    <x v="4"/>
    <x v="2"/>
    <x v="0"/>
    <x v="0"/>
    <x v="3"/>
    <x v="8"/>
    <x v="3"/>
    <n v="600"/>
    <n v="600"/>
    <n v="471.88"/>
    <n v="128.12"/>
    <n v="0.2135"/>
    <n v="0.78649999999999998"/>
    <n v="470"/>
    <n v="0.76919999999999999"/>
    <x v="1"/>
    <x v="1"/>
  </r>
  <r>
    <s v="ORD-00373"/>
    <x v="298"/>
    <x v="3"/>
    <x v="2"/>
    <x v="0"/>
    <x v="1"/>
    <x v="3"/>
    <x v="1"/>
    <x v="0"/>
    <x v="3"/>
    <x v="7"/>
    <x v="4"/>
    <n v="360"/>
    <n v="324"/>
    <n v="232.51"/>
    <n v="91.49"/>
    <n v="0.28239999999999998"/>
    <n v="0.71760000000000002"/>
    <n v="388"/>
    <n v="0.45"/>
    <x v="0"/>
    <x v="3"/>
  </r>
  <r>
    <s v="ORD-00374"/>
    <x v="299"/>
    <x v="4"/>
    <x v="2"/>
    <x v="3"/>
    <x v="3"/>
    <x v="2"/>
    <x v="1"/>
    <x v="0"/>
    <x v="1"/>
    <x v="0"/>
    <x v="5"/>
    <n v="1500"/>
    <n v="1425"/>
    <n v="922.51"/>
    <n v="502.49"/>
    <n v="0.35260000000000002"/>
    <n v="0.64739999999999998"/>
    <n v="657"/>
    <n v="1.6963999999999999"/>
    <x v="1"/>
    <x v="1"/>
  </r>
  <r>
    <s v="ORD-00375"/>
    <x v="300"/>
    <x v="0"/>
    <x v="0"/>
    <x v="0"/>
    <x v="4"/>
    <x v="1"/>
    <x v="0"/>
    <x v="0"/>
    <x v="2"/>
    <x v="1"/>
    <x v="3"/>
    <n v="50"/>
    <n v="50"/>
    <n v="26.25"/>
    <n v="23.75"/>
    <n v="0.47499999999999998"/>
    <n v="0.52500000000000002"/>
    <n v="29"/>
    <n v="7.9399999999999998E-2"/>
    <x v="0"/>
    <x v="6"/>
  </r>
  <r>
    <s v="ORD-00376"/>
    <x v="301"/>
    <x v="4"/>
    <x v="2"/>
    <x v="2"/>
    <x v="4"/>
    <x v="1"/>
    <x v="0"/>
    <x v="0"/>
    <x v="1"/>
    <x v="2"/>
    <x v="0"/>
    <n v="1000"/>
    <n v="970"/>
    <n v="555.85"/>
    <n v="414.15"/>
    <n v="0.42699999999999999"/>
    <n v="0.57299999999999995"/>
    <n v="716"/>
    <n v="1.3324"/>
    <x v="1"/>
    <x v="1"/>
  </r>
  <r>
    <s v="ORD-00377"/>
    <x v="302"/>
    <x v="4"/>
    <x v="2"/>
    <x v="1"/>
    <x v="3"/>
    <x v="1"/>
    <x v="0"/>
    <x v="0"/>
    <x v="6"/>
    <x v="1"/>
    <x v="2"/>
    <n v="200"/>
    <n v="184"/>
    <n v="106.56"/>
    <n v="77.44"/>
    <n v="0.4209"/>
    <n v="0.57909999999999995"/>
    <n v="201"/>
    <n v="0.1825"/>
    <x v="1"/>
    <x v="1"/>
  </r>
  <r>
    <s v="ORD-00378"/>
    <x v="303"/>
    <x v="2"/>
    <x v="1"/>
    <x v="0"/>
    <x v="0"/>
    <x v="2"/>
    <x v="1"/>
    <x v="0"/>
    <x v="5"/>
    <x v="8"/>
    <x v="1"/>
    <n v="100"/>
    <n v="85"/>
    <n v="58.54"/>
    <n v="26.46"/>
    <n v="0.31130000000000002"/>
    <n v="0.68869999999999998"/>
    <n v="50"/>
    <n v="0.13489999999999999"/>
    <x v="1"/>
    <x v="1"/>
  </r>
  <r>
    <s v="ORD-00379"/>
    <x v="304"/>
    <x v="4"/>
    <x v="2"/>
    <x v="4"/>
    <x v="3"/>
    <x v="0"/>
    <x v="1"/>
    <x v="0"/>
    <x v="0"/>
    <x v="3"/>
    <x v="5"/>
    <n v="600"/>
    <n v="570"/>
    <n v="352.55"/>
    <n v="217.45"/>
    <n v="0.38150000000000001"/>
    <n v="0.61850000000000005"/>
    <n v="683"/>
    <n v="0.72340000000000004"/>
    <x v="1"/>
    <x v="1"/>
  </r>
  <r>
    <s v="ORD-00380"/>
    <x v="305"/>
    <x v="5"/>
    <x v="3"/>
    <x v="1"/>
    <x v="1"/>
    <x v="2"/>
    <x v="1"/>
    <x v="0"/>
    <x v="6"/>
    <x v="0"/>
    <x v="4"/>
    <n v="2400"/>
    <n v="2160"/>
    <n v="1346.13"/>
    <n v="813.87"/>
    <n v="0.37680000000000002"/>
    <n v="0.62319999999999998"/>
    <n v="1286"/>
    <n v="2.2856999999999998"/>
    <x v="1"/>
    <x v="1"/>
  </r>
  <r>
    <s v="ORD-00381"/>
    <x v="306"/>
    <x v="2"/>
    <x v="1"/>
    <x v="2"/>
    <x v="3"/>
    <x v="3"/>
    <x v="0"/>
    <x v="0"/>
    <x v="5"/>
    <x v="3"/>
    <x v="1"/>
    <n v="150"/>
    <n v="127.5"/>
    <n v="75.05"/>
    <n v="52.45"/>
    <n v="0.41139999999999999"/>
    <n v="0.58860000000000001"/>
    <n v="95"/>
    <n v="0.187"/>
    <x v="1"/>
    <x v="1"/>
  </r>
  <r>
    <s v="ORD-00382"/>
    <x v="4"/>
    <x v="1"/>
    <x v="0"/>
    <x v="3"/>
    <x v="1"/>
    <x v="2"/>
    <x v="1"/>
    <x v="0"/>
    <x v="2"/>
    <x v="2"/>
    <x v="1"/>
    <n v="400"/>
    <n v="340"/>
    <n v="213.89"/>
    <n v="126.11"/>
    <n v="0.37090000000000001"/>
    <n v="0.62909999999999999"/>
    <n v="160"/>
    <n v="0.3795"/>
    <x v="1"/>
    <x v="1"/>
  </r>
  <r>
    <s v="ORD-00383"/>
    <x v="6"/>
    <x v="5"/>
    <x v="3"/>
    <x v="2"/>
    <x v="2"/>
    <x v="3"/>
    <x v="1"/>
    <x v="0"/>
    <x v="5"/>
    <x v="3"/>
    <x v="0"/>
    <n v="150"/>
    <n v="145.5"/>
    <n v="104.32"/>
    <n v="41.18"/>
    <n v="0.28299999999999997"/>
    <n v="0.71699999999999997"/>
    <n v="115"/>
    <n v="0.21329999999999999"/>
    <x v="1"/>
    <x v="1"/>
  </r>
  <r>
    <s v="ORD-00384"/>
    <x v="307"/>
    <x v="3"/>
    <x v="2"/>
    <x v="1"/>
    <x v="5"/>
    <x v="2"/>
    <x v="1"/>
    <x v="0"/>
    <x v="7"/>
    <x v="3"/>
    <x v="3"/>
    <n v="1050"/>
    <n v="1050"/>
    <n v="814.78"/>
    <n v="235.22"/>
    <n v="0.224"/>
    <n v="0.77600000000000002"/>
    <n v="825"/>
    <n v="0.97219999999999995"/>
    <x v="1"/>
    <x v="1"/>
  </r>
  <r>
    <s v="ORD-00385"/>
    <x v="274"/>
    <x v="1"/>
    <x v="0"/>
    <x v="1"/>
    <x v="2"/>
    <x v="1"/>
    <x v="1"/>
    <x v="0"/>
    <x v="5"/>
    <x v="7"/>
    <x v="3"/>
    <n v="60"/>
    <n v="60"/>
    <n v="43.08"/>
    <n v="16.920000000000002"/>
    <n v="0.28199999999999997"/>
    <n v="0.71799999999999997"/>
    <n v="47"/>
    <n v="6.3500000000000001E-2"/>
    <x v="1"/>
    <x v="1"/>
  </r>
  <r>
    <s v="ORD-00386"/>
    <x v="308"/>
    <x v="1"/>
    <x v="0"/>
    <x v="0"/>
    <x v="1"/>
    <x v="1"/>
    <x v="1"/>
    <x v="0"/>
    <x v="3"/>
    <x v="9"/>
    <x v="0"/>
    <n v="480"/>
    <n v="465.6"/>
    <n v="294.54000000000002"/>
    <n v="171.06"/>
    <n v="0.3674"/>
    <n v="0.63260000000000005"/>
    <n v="579"/>
    <n v="0.73899999999999999"/>
    <x v="0"/>
    <x v="3"/>
  </r>
  <r>
    <s v="ORD-00387"/>
    <x v="309"/>
    <x v="5"/>
    <x v="3"/>
    <x v="4"/>
    <x v="3"/>
    <x v="0"/>
    <x v="0"/>
    <x v="0"/>
    <x v="3"/>
    <x v="3"/>
    <x v="3"/>
    <n v="900"/>
    <n v="900"/>
    <n v="569.19000000000005"/>
    <n v="330.81"/>
    <n v="0.36759999999999998"/>
    <n v="0.63239999999999996"/>
    <n v="1090"/>
    <n v="1.0713999999999999"/>
    <x v="1"/>
    <x v="1"/>
  </r>
  <r>
    <s v="ORD-00388"/>
    <x v="247"/>
    <x v="0"/>
    <x v="0"/>
    <x v="3"/>
    <x v="4"/>
    <x v="3"/>
    <x v="0"/>
    <x v="0"/>
    <x v="0"/>
    <x v="1"/>
    <x v="4"/>
    <n v="100"/>
    <n v="90"/>
    <n v="52.33"/>
    <n v="37.67"/>
    <n v="0.41860000000000003"/>
    <n v="0.58140000000000003"/>
    <n v="79"/>
    <n v="0.1071"/>
    <x v="1"/>
    <x v="1"/>
  </r>
  <r>
    <s v="ORD-00389"/>
    <x v="310"/>
    <x v="2"/>
    <x v="1"/>
    <x v="2"/>
    <x v="0"/>
    <x v="0"/>
    <x v="1"/>
    <x v="0"/>
    <x v="1"/>
    <x v="3"/>
    <x v="4"/>
    <n v="750"/>
    <n v="675"/>
    <n v="341.67"/>
    <n v="333.33"/>
    <n v="0.49380000000000002"/>
    <n v="0.50619999999999998"/>
    <n v="498"/>
    <n v="1.0385"/>
    <x v="1"/>
    <x v="1"/>
  </r>
  <r>
    <s v="ORD-00390"/>
    <x v="311"/>
    <x v="0"/>
    <x v="0"/>
    <x v="4"/>
    <x v="0"/>
    <x v="3"/>
    <x v="0"/>
    <x v="0"/>
    <x v="0"/>
    <x v="6"/>
    <x v="0"/>
    <n v="2000"/>
    <n v="1940"/>
    <n v="1404.72"/>
    <n v="535.28"/>
    <n v="0.27589999999999998"/>
    <n v="0.72409999999999997"/>
    <n v="2068"/>
    <n v="2.1556000000000002"/>
    <x v="1"/>
    <x v="1"/>
  </r>
  <r>
    <s v="ORD-00391"/>
    <x v="312"/>
    <x v="0"/>
    <x v="0"/>
    <x v="1"/>
    <x v="2"/>
    <x v="2"/>
    <x v="1"/>
    <x v="1"/>
    <x v="1"/>
    <x v="2"/>
    <x v="3"/>
    <n v="1000"/>
    <n v="1000"/>
    <n v="505.63"/>
    <n v="494.37"/>
    <n v="0.49440000000000001"/>
    <n v="0.50560000000000005"/>
    <n v="2332"/>
    <n v="1.0582"/>
    <x v="1"/>
    <x v="1"/>
  </r>
  <r>
    <s v="ORD-00392"/>
    <x v="313"/>
    <x v="1"/>
    <x v="0"/>
    <x v="0"/>
    <x v="3"/>
    <x v="2"/>
    <x v="1"/>
    <x v="1"/>
    <x v="3"/>
    <x v="9"/>
    <x v="0"/>
    <n v="480"/>
    <n v="465.6"/>
    <n v="310.08999999999997"/>
    <n v="155.51"/>
    <n v="0.33400000000000002"/>
    <n v="0.66600000000000004"/>
    <n v="478"/>
    <n v="0.73899999999999999"/>
    <x v="1"/>
    <x v="1"/>
  </r>
  <r>
    <s v="ORD-00393"/>
    <x v="93"/>
    <x v="1"/>
    <x v="0"/>
    <x v="0"/>
    <x v="4"/>
    <x v="2"/>
    <x v="0"/>
    <x v="0"/>
    <x v="7"/>
    <x v="7"/>
    <x v="5"/>
    <n v="420"/>
    <n v="399"/>
    <n v="213.43"/>
    <n v="185.57"/>
    <n v="0.46510000000000001"/>
    <n v="0.53490000000000004"/>
    <n v="431"/>
    <n v="0.59379999999999999"/>
    <x v="1"/>
    <x v="1"/>
  </r>
  <r>
    <s v="ORD-00394"/>
    <x v="314"/>
    <x v="3"/>
    <x v="2"/>
    <x v="2"/>
    <x v="0"/>
    <x v="3"/>
    <x v="0"/>
    <x v="0"/>
    <x v="5"/>
    <x v="9"/>
    <x v="0"/>
    <n v="80"/>
    <n v="77.599999999999994"/>
    <n v="39.06"/>
    <n v="38.54"/>
    <n v="0.49659999999999999"/>
    <n v="0.50339999999999996"/>
    <n v="105"/>
    <n v="0.1066"/>
    <x v="1"/>
    <x v="1"/>
  </r>
  <r>
    <s v="ORD-00395"/>
    <x v="315"/>
    <x v="4"/>
    <x v="2"/>
    <x v="1"/>
    <x v="3"/>
    <x v="2"/>
    <x v="0"/>
    <x v="0"/>
    <x v="2"/>
    <x v="9"/>
    <x v="3"/>
    <n v="160"/>
    <n v="160"/>
    <n v="95.49"/>
    <n v="64.510000000000005"/>
    <n v="0.4032"/>
    <n v="0.5968"/>
    <n v="167"/>
    <n v="0.17780000000000001"/>
    <x v="1"/>
    <x v="1"/>
  </r>
  <r>
    <s v="ORD-00396"/>
    <x v="316"/>
    <x v="3"/>
    <x v="2"/>
    <x v="1"/>
    <x v="1"/>
    <x v="2"/>
    <x v="0"/>
    <x v="1"/>
    <x v="7"/>
    <x v="2"/>
    <x v="4"/>
    <n v="1400"/>
    <n v="1260"/>
    <n v="811.93"/>
    <n v="448.07"/>
    <n v="0.35560000000000003"/>
    <n v="0.64439999999999997"/>
    <n v="1482"/>
    <n v="1.4"/>
    <x v="1"/>
    <x v="1"/>
  </r>
  <r>
    <s v="ORD-00397"/>
    <x v="317"/>
    <x v="5"/>
    <x v="3"/>
    <x v="2"/>
    <x v="5"/>
    <x v="1"/>
    <x v="0"/>
    <x v="0"/>
    <x v="1"/>
    <x v="0"/>
    <x v="0"/>
    <n v="1500"/>
    <n v="1455"/>
    <n v="990.42"/>
    <n v="464.58"/>
    <n v="0.31929999999999997"/>
    <n v="0.68069999999999997"/>
    <n v="1552"/>
    <n v="1.8653999999999999"/>
    <x v="1"/>
    <x v="1"/>
  </r>
  <r>
    <s v="ORD-00398"/>
    <x v="286"/>
    <x v="0"/>
    <x v="0"/>
    <x v="0"/>
    <x v="4"/>
    <x v="0"/>
    <x v="0"/>
    <x v="0"/>
    <x v="3"/>
    <x v="7"/>
    <x v="5"/>
    <n v="360"/>
    <n v="342"/>
    <n v="182.27"/>
    <n v="159.72999999999999"/>
    <n v="0.46700000000000003"/>
    <n v="0.53300000000000003"/>
    <n v="365"/>
    <n v="0.50890000000000002"/>
    <x v="1"/>
    <x v="1"/>
  </r>
  <r>
    <s v="ORD-00399"/>
    <x v="37"/>
    <x v="3"/>
    <x v="2"/>
    <x v="4"/>
    <x v="3"/>
    <x v="1"/>
    <x v="1"/>
    <x v="0"/>
    <x v="4"/>
    <x v="9"/>
    <x v="3"/>
    <n v="240"/>
    <n v="240"/>
    <n v="173.57"/>
    <n v="66.430000000000007"/>
    <n v="0.27679999999999999"/>
    <n v="0.72319999999999995"/>
    <n v="179"/>
    <n v="0.28570000000000001"/>
    <x v="1"/>
    <x v="1"/>
  </r>
  <r>
    <s v="ORD-00400"/>
    <x v="135"/>
    <x v="3"/>
    <x v="2"/>
    <x v="4"/>
    <x v="3"/>
    <x v="3"/>
    <x v="1"/>
    <x v="1"/>
    <x v="4"/>
    <x v="9"/>
    <x v="3"/>
    <n v="240"/>
    <n v="240"/>
    <n v="137.84"/>
    <n v="102.16"/>
    <n v="0.42570000000000002"/>
    <n v="0.57430000000000003"/>
    <n v="258"/>
    <n v="0.32"/>
    <x v="1"/>
    <x v="1"/>
  </r>
  <r>
    <s v="ORD-00401"/>
    <x v="318"/>
    <x v="3"/>
    <x v="2"/>
    <x v="2"/>
    <x v="3"/>
    <x v="3"/>
    <x v="0"/>
    <x v="0"/>
    <x v="4"/>
    <x v="7"/>
    <x v="0"/>
    <n v="180"/>
    <n v="174.6"/>
    <n v="119.73"/>
    <n v="54.87"/>
    <n v="0.31430000000000002"/>
    <n v="0.68569999999999998"/>
    <n v="188"/>
    <n v="0.23980000000000001"/>
    <x v="0"/>
    <x v="5"/>
  </r>
  <r>
    <s v="ORD-00402"/>
    <x v="227"/>
    <x v="2"/>
    <x v="1"/>
    <x v="2"/>
    <x v="2"/>
    <x v="0"/>
    <x v="1"/>
    <x v="0"/>
    <x v="4"/>
    <x v="3"/>
    <x v="3"/>
    <n v="450"/>
    <n v="450"/>
    <n v="270.73"/>
    <n v="179.27"/>
    <n v="0.39839999999999998"/>
    <n v="0.60160000000000002"/>
    <n v="358"/>
    <n v="0.69230000000000003"/>
    <x v="1"/>
    <x v="1"/>
  </r>
  <r>
    <s v="ORD-00403"/>
    <x v="210"/>
    <x v="1"/>
    <x v="0"/>
    <x v="2"/>
    <x v="3"/>
    <x v="1"/>
    <x v="0"/>
    <x v="0"/>
    <x v="3"/>
    <x v="3"/>
    <x v="0"/>
    <n v="900"/>
    <n v="873"/>
    <n v="475.4"/>
    <n v="397.6"/>
    <n v="0.45540000000000003"/>
    <n v="0.54459999999999997"/>
    <n v="1079"/>
    <n v="1.1992"/>
    <x v="1"/>
    <x v="1"/>
  </r>
  <r>
    <s v="ORD-00404"/>
    <x v="319"/>
    <x v="5"/>
    <x v="3"/>
    <x v="1"/>
    <x v="1"/>
    <x v="3"/>
    <x v="1"/>
    <x v="0"/>
    <x v="3"/>
    <x v="7"/>
    <x v="0"/>
    <n v="360"/>
    <n v="349.2"/>
    <n v="236.35"/>
    <n v="112.85"/>
    <n v="0.32319999999999999"/>
    <n v="0.67679999999999996"/>
    <n v="802"/>
    <n v="0.32329999999999998"/>
    <x v="1"/>
    <x v="1"/>
  </r>
  <r>
    <s v="ORD-00405"/>
    <x v="138"/>
    <x v="1"/>
    <x v="0"/>
    <x v="0"/>
    <x v="1"/>
    <x v="0"/>
    <x v="0"/>
    <x v="1"/>
    <x v="2"/>
    <x v="3"/>
    <x v="3"/>
    <n v="300"/>
    <n v="300"/>
    <n v="198.82"/>
    <n v="101.18"/>
    <n v="0.33729999999999999"/>
    <n v="0.66269999999999996"/>
    <n v="239"/>
    <n v="0.44640000000000002"/>
    <x v="1"/>
    <x v="1"/>
  </r>
  <r>
    <s v="ORD-00406"/>
    <x v="320"/>
    <x v="1"/>
    <x v="0"/>
    <x v="1"/>
    <x v="2"/>
    <x v="1"/>
    <x v="0"/>
    <x v="0"/>
    <x v="5"/>
    <x v="8"/>
    <x v="2"/>
    <n v="100"/>
    <n v="92"/>
    <n v="52.96"/>
    <n v="39.04"/>
    <n v="0.42430000000000001"/>
    <n v="0.57569999999999999"/>
    <n v="112"/>
    <n v="0.1022"/>
    <x v="1"/>
    <x v="1"/>
  </r>
  <r>
    <s v="ORD-00407"/>
    <x v="321"/>
    <x v="3"/>
    <x v="2"/>
    <x v="3"/>
    <x v="4"/>
    <x v="1"/>
    <x v="1"/>
    <x v="0"/>
    <x v="1"/>
    <x v="1"/>
    <x v="5"/>
    <n v="125"/>
    <n v="118.75"/>
    <n v="79.73"/>
    <n v="39.020000000000003"/>
    <n v="0.3286"/>
    <n v="0.6714"/>
    <n v="93"/>
    <n v="0.1414"/>
    <x v="1"/>
    <x v="1"/>
  </r>
  <r>
    <s v="ORD-00408"/>
    <x v="46"/>
    <x v="0"/>
    <x v="0"/>
    <x v="0"/>
    <x v="5"/>
    <x v="0"/>
    <x v="0"/>
    <x v="0"/>
    <x v="2"/>
    <x v="2"/>
    <x v="5"/>
    <n v="400"/>
    <n v="380"/>
    <n v="238.93"/>
    <n v="141.07"/>
    <n v="0.37119999999999997"/>
    <n v="0.62880000000000003"/>
    <n v="405"/>
    <n v="0.63329999999999997"/>
    <x v="1"/>
    <x v="1"/>
  </r>
  <r>
    <s v="ORD-00409"/>
    <x v="322"/>
    <x v="3"/>
    <x v="2"/>
    <x v="2"/>
    <x v="4"/>
    <x v="3"/>
    <x v="0"/>
    <x v="0"/>
    <x v="4"/>
    <x v="3"/>
    <x v="3"/>
    <n v="450"/>
    <n v="450"/>
    <n v="265.02999999999997"/>
    <n v="184.97"/>
    <n v="0.41099999999999998"/>
    <n v="0.58899999999999997"/>
    <n v="524"/>
    <n v="0.57689999999999997"/>
    <x v="1"/>
    <x v="1"/>
  </r>
  <r>
    <s v="ORD-00410"/>
    <x v="69"/>
    <x v="4"/>
    <x v="2"/>
    <x v="1"/>
    <x v="1"/>
    <x v="0"/>
    <x v="1"/>
    <x v="0"/>
    <x v="4"/>
    <x v="0"/>
    <x v="0"/>
    <n v="900"/>
    <n v="873"/>
    <n v="565.49"/>
    <n v="307.51"/>
    <n v="0.35220000000000001"/>
    <n v="0.64780000000000004"/>
    <n v="1065"/>
    <n v="0.97"/>
    <x v="1"/>
    <x v="1"/>
  </r>
  <r>
    <s v="ORD-00411"/>
    <x v="323"/>
    <x v="2"/>
    <x v="1"/>
    <x v="1"/>
    <x v="5"/>
    <x v="3"/>
    <x v="0"/>
    <x v="0"/>
    <x v="6"/>
    <x v="6"/>
    <x v="3"/>
    <n v="4000"/>
    <n v="4000"/>
    <n v="2628.34"/>
    <n v="1371.66"/>
    <n v="0.34289999999999998"/>
    <n v="0.65710000000000002"/>
    <n v="1863"/>
    <n v="3.7037"/>
    <x v="1"/>
    <x v="1"/>
  </r>
  <r>
    <s v="ORD-00412"/>
    <x v="182"/>
    <x v="2"/>
    <x v="1"/>
    <x v="2"/>
    <x v="3"/>
    <x v="0"/>
    <x v="0"/>
    <x v="0"/>
    <x v="2"/>
    <x v="6"/>
    <x v="0"/>
    <n v="1000"/>
    <n v="970"/>
    <n v="469.04"/>
    <n v="500.96"/>
    <n v="0.51649999999999996"/>
    <n v="0.48349999999999999"/>
    <n v="1054"/>
    <n v="1.4923"/>
    <x v="1"/>
    <x v="1"/>
  </r>
  <r>
    <s v="ORD-00413"/>
    <x v="262"/>
    <x v="0"/>
    <x v="0"/>
    <x v="1"/>
    <x v="0"/>
    <x v="0"/>
    <x v="0"/>
    <x v="0"/>
    <x v="0"/>
    <x v="2"/>
    <x v="2"/>
    <n v="800"/>
    <n v="736"/>
    <n v="393.82"/>
    <n v="342.18"/>
    <n v="0.46489999999999998"/>
    <n v="0.53510000000000002"/>
    <n v="1395"/>
    <n v="0.77880000000000005"/>
    <x v="1"/>
    <x v="1"/>
  </r>
  <r>
    <s v="ORD-00414"/>
    <x v="242"/>
    <x v="5"/>
    <x v="3"/>
    <x v="4"/>
    <x v="0"/>
    <x v="1"/>
    <x v="0"/>
    <x v="0"/>
    <x v="6"/>
    <x v="5"/>
    <x v="5"/>
    <n v="6000"/>
    <n v="5700"/>
    <n v="2590.89"/>
    <n v="3109.11"/>
    <n v="0.54549999999999998"/>
    <n v="0.45450000000000002"/>
    <n v="3840"/>
    <n v="7.2335000000000003"/>
    <x v="1"/>
    <x v="1"/>
  </r>
  <r>
    <s v="ORD-00415"/>
    <x v="324"/>
    <x v="2"/>
    <x v="1"/>
    <x v="2"/>
    <x v="1"/>
    <x v="2"/>
    <x v="1"/>
    <x v="0"/>
    <x v="0"/>
    <x v="7"/>
    <x v="2"/>
    <n v="240"/>
    <n v="220.8"/>
    <n v="121.09"/>
    <n v="99.71"/>
    <n v="0.4516"/>
    <n v="0.5484"/>
    <n v="262"/>
    <n v="0.32379999999999998"/>
    <x v="1"/>
    <x v="1"/>
  </r>
  <r>
    <s v="ORD-00416"/>
    <x v="293"/>
    <x v="1"/>
    <x v="0"/>
    <x v="2"/>
    <x v="5"/>
    <x v="1"/>
    <x v="0"/>
    <x v="0"/>
    <x v="7"/>
    <x v="5"/>
    <x v="2"/>
    <n v="5250"/>
    <n v="4830"/>
    <n v="2715.99"/>
    <n v="2114.0100000000002"/>
    <n v="0.43769999999999998"/>
    <n v="0.56230000000000002"/>
    <n v="5151"/>
    <n v="6.1923000000000004"/>
    <x v="1"/>
    <x v="1"/>
  </r>
  <r>
    <s v="ORD-00417"/>
    <x v="325"/>
    <x v="2"/>
    <x v="1"/>
    <x v="3"/>
    <x v="4"/>
    <x v="3"/>
    <x v="1"/>
    <x v="0"/>
    <x v="5"/>
    <x v="4"/>
    <x v="2"/>
    <n v="40"/>
    <n v="36.799999999999997"/>
    <n v="18.54"/>
    <n v="18.260000000000002"/>
    <n v="0.49619999999999997"/>
    <n v="0.50380000000000003"/>
    <n v="43"/>
    <n v="4.3799999999999999E-2"/>
    <x v="0"/>
    <x v="7"/>
  </r>
  <r>
    <s v="ORD-00418"/>
    <x v="326"/>
    <x v="4"/>
    <x v="2"/>
    <x v="1"/>
    <x v="3"/>
    <x v="0"/>
    <x v="0"/>
    <x v="0"/>
    <x v="0"/>
    <x v="0"/>
    <x v="4"/>
    <n v="1200"/>
    <n v="1080"/>
    <n v="754.18"/>
    <n v="325.82"/>
    <n v="0.30170000000000002"/>
    <n v="0.69830000000000003"/>
    <n v="1177"/>
    <n v="1.2"/>
    <x v="1"/>
    <x v="1"/>
  </r>
  <r>
    <s v="ORD-00419"/>
    <x v="327"/>
    <x v="2"/>
    <x v="1"/>
    <x v="2"/>
    <x v="4"/>
    <x v="0"/>
    <x v="1"/>
    <x v="0"/>
    <x v="0"/>
    <x v="7"/>
    <x v="2"/>
    <n v="240"/>
    <n v="220.8"/>
    <n v="150.30000000000001"/>
    <n v="70.5"/>
    <n v="0.31929999999999997"/>
    <n v="0.68069999999999997"/>
    <n v="268"/>
    <n v="0.28310000000000002"/>
    <x v="1"/>
    <x v="1"/>
  </r>
  <r>
    <s v="ORD-00420"/>
    <x v="277"/>
    <x v="4"/>
    <x v="2"/>
    <x v="0"/>
    <x v="5"/>
    <x v="1"/>
    <x v="1"/>
    <x v="0"/>
    <x v="4"/>
    <x v="1"/>
    <x v="3"/>
    <n v="75"/>
    <n v="75"/>
    <n v="61.36"/>
    <n v="13.64"/>
    <n v="0.18190000000000001"/>
    <n v="0.81810000000000005"/>
    <n v="45"/>
    <n v="0.1042"/>
    <x v="1"/>
    <x v="1"/>
  </r>
  <r>
    <s v="ORD-00421"/>
    <x v="205"/>
    <x v="1"/>
    <x v="0"/>
    <x v="0"/>
    <x v="3"/>
    <x v="0"/>
    <x v="1"/>
    <x v="0"/>
    <x v="4"/>
    <x v="4"/>
    <x v="3"/>
    <n v="120"/>
    <n v="120"/>
    <n v="82.72"/>
    <n v="37.28"/>
    <n v="0.31069999999999998"/>
    <n v="0.68930000000000002"/>
    <n v="127"/>
    <n v="0.2"/>
    <x v="1"/>
    <x v="1"/>
  </r>
  <r>
    <s v="ORD-00422"/>
    <x v="328"/>
    <x v="0"/>
    <x v="0"/>
    <x v="3"/>
    <x v="2"/>
    <x v="1"/>
    <x v="1"/>
    <x v="1"/>
    <x v="7"/>
    <x v="8"/>
    <x v="4"/>
    <n v="700"/>
    <n v="630"/>
    <n v="488.13"/>
    <n v="141.87"/>
    <n v="0.22520000000000001"/>
    <n v="0.77480000000000004"/>
    <n v="288"/>
    <n v="0.70309999999999995"/>
    <x v="1"/>
    <x v="1"/>
  </r>
  <r>
    <s v="ORD-00423"/>
    <x v="329"/>
    <x v="2"/>
    <x v="1"/>
    <x v="4"/>
    <x v="2"/>
    <x v="3"/>
    <x v="1"/>
    <x v="0"/>
    <x v="2"/>
    <x v="0"/>
    <x v="3"/>
    <n v="600"/>
    <n v="600"/>
    <n v="416.5"/>
    <n v="183.5"/>
    <n v="0.30580000000000002"/>
    <n v="0.69420000000000004"/>
    <n v="511"/>
    <n v="0.76139999999999997"/>
    <x v="1"/>
    <x v="1"/>
  </r>
  <r>
    <s v="ORD-00424"/>
    <x v="11"/>
    <x v="2"/>
    <x v="1"/>
    <x v="4"/>
    <x v="1"/>
    <x v="1"/>
    <x v="0"/>
    <x v="1"/>
    <x v="7"/>
    <x v="6"/>
    <x v="4"/>
    <n v="3500"/>
    <n v="3150"/>
    <n v="1951.08"/>
    <n v="1198.92"/>
    <n v="0.38059999999999999"/>
    <n v="0.61939999999999995"/>
    <n v="2069"/>
    <n v="3.9975000000000001"/>
    <x v="1"/>
    <x v="1"/>
  </r>
  <r>
    <s v="ORD-00425"/>
    <x v="54"/>
    <x v="2"/>
    <x v="1"/>
    <x v="1"/>
    <x v="1"/>
    <x v="0"/>
    <x v="0"/>
    <x v="1"/>
    <x v="5"/>
    <x v="3"/>
    <x v="3"/>
    <n v="150"/>
    <n v="150"/>
    <n v="89.56"/>
    <n v="60.44"/>
    <n v="0.40289999999999998"/>
    <n v="0.59709999999999996"/>
    <n v="162"/>
    <n v="0.1389"/>
    <x v="1"/>
    <x v="1"/>
  </r>
  <r>
    <s v="ORD-00426"/>
    <x v="330"/>
    <x v="4"/>
    <x v="2"/>
    <x v="4"/>
    <x v="4"/>
    <x v="0"/>
    <x v="1"/>
    <x v="0"/>
    <x v="1"/>
    <x v="9"/>
    <x v="3"/>
    <n v="400"/>
    <n v="400"/>
    <n v="222.51"/>
    <n v="177.49"/>
    <n v="0.44369999999999998"/>
    <n v="0.55630000000000002"/>
    <n v="775"/>
    <n v="0.5333"/>
    <x v="1"/>
    <x v="1"/>
  </r>
  <r>
    <s v="ORD-00427"/>
    <x v="331"/>
    <x v="4"/>
    <x v="2"/>
    <x v="2"/>
    <x v="3"/>
    <x v="2"/>
    <x v="1"/>
    <x v="0"/>
    <x v="7"/>
    <x v="6"/>
    <x v="5"/>
    <n v="3500"/>
    <n v="3325"/>
    <n v="1995.8"/>
    <n v="1329.2"/>
    <n v="0.39979999999999999"/>
    <n v="0.60019999999999996"/>
    <n v="2604"/>
    <n v="4.8754"/>
    <x v="1"/>
    <x v="1"/>
  </r>
  <r>
    <s v="ORD-00428"/>
    <x v="332"/>
    <x v="1"/>
    <x v="0"/>
    <x v="1"/>
    <x v="2"/>
    <x v="0"/>
    <x v="0"/>
    <x v="1"/>
    <x v="0"/>
    <x v="1"/>
    <x v="4"/>
    <n v="100"/>
    <n v="90"/>
    <n v="62.04"/>
    <n v="27.96"/>
    <n v="0.31069999999999998"/>
    <n v="0.68930000000000002"/>
    <n v="96"/>
    <n v="0.1"/>
    <x v="1"/>
    <x v="1"/>
  </r>
  <r>
    <s v="ORD-00429"/>
    <x v="185"/>
    <x v="5"/>
    <x v="3"/>
    <x v="4"/>
    <x v="1"/>
    <x v="3"/>
    <x v="0"/>
    <x v="1"/>
    <x v="4"/>
    <x v="3"/>
    <x v="3"/>
    <n v="450"/>
    <n v="450"/>
    <n v="298.38"/>
    <n v="151.62"/>
    <n v="0.33689999999999998"/>
    <n v="0.66310000000000002"/>
    <n v="351"/>
    <n v="0.6"/>
    <x v="1"/>
    <x v="1"/>
  </r>
  <r>
    <s v="ORD-00430"/>
    <x v="75"/>
    <x v="5"/>
    <x v="3"/>
    <x v="2"/>
    <x v="3"/>
    <x v="1"/>
    <x v="0"/>
    <x v="0"/>
    <x v="4"/>
    <x v="8"/>
    <x v="3"/>
    <n v="300"/>
    <n v="300"/>
    <n v="177.94"/>
    <n v="122.06"/>
    <n v="0.40689999999999998"/>
    <n v="0.59309999999999996"/>
    <n v="356"/>
    <n v="0.41210000000000002"/>
    <x v="1"/>
    <x v="1"/>
  </r>
  <r>
    <s v="ORD-00431"/>
    <x v="99"/>
    <x v="1"/>
    <x v="0"/>
    <x v="4"/>
    <x v="2"/>
    <x v="2"/>
    <x v="1"/>
    <x v="0"/>
    <x v="0"/>
    <x v="8"/>
    <x v="4"/>
    <n v="400"/>
    <n v="360"/>
    <n v="228.97"/>
    <n v="131.03"/>
    <n v="0.36399999999999999"/>
    <n v="0.63600000000000001"/>
    <n v="446"/>
    <n v="0.48"/>
    <x v="1"/>
    <x v="1"/>
  </r>
  <r>
    <s v="ORD-00432"/>
    <x v="333"/>
    <x v="4"/>
    <x v="2"/>
    <x v="0"/>
    <x v="4"/>
    <x v="3"/>
    <x v="0"/>
    <x v="1"/>
    <x v="0"/>
    <x v="0"/>
    <x v="4"/>
    <n v="1200"/>
    <n v="1080"/>
    <n v="774.06"/>
    <n v="305.94"/>
    <n v="0.2833"/>
    <n v="0.7167"/>
    <n v="856"/>
    <n v="1.5"/>
    <x v="1"/>
    <x v="1"/>
  </r>
  <r>
    <s v="ORD-00433"/>
    <x v="326"/>
    <x v="2"/>
    <x v="1"/>
    <x v="4"/>
    <x v="3"/>
    <x v="2"/>
    <x v="0"/>
    <x v="0"/>
    <x v="0"/>
    <x v="8"/>
    <x v="0"/>
    <n v="400"/>
    <n v="388"/>
    <n v="267.39999999999998"/>
    <n v="120.6"/>
    <n v="0.31080000000000002"/>
    <n v="0.68920000000000003"/>
    <n v="460"/>
    <n v="0.51729999999999998"/>
    <x v="1"/>
    <x v="1"/>
  </r>
  <r>
    <s v="ORD-00434"/>
    <x v="235"/>
    <x v="0"/>
    <x v="0"/>
    <x v="2"/>
    <x v="5"/>
    <x v="2"/>
    <x v="0"/>
    <x v="0"/>
    <x v="2"/>
    <x v="3"/>
    <x v="3"/>
    <n v="300"/>
    <n v="300"/>
    <n v="183.04"/>
    <n v="116.96"/>
    <n v="0.38990000000000002"/>
    <n v="0.61009999999999998"/>
    <n v="354"/>
    <n v="0.46150000000000002"/>
    <x v="1"/>
    <x v="1"/>
  </r>
  <r>
    <s v="ORD-00435"/>
    <x v="334"/>
    <x v="2"/>
    <x v="1"/>
    <x v="1"/>
    <x v="3"/>
    <x v="2"/>
    <x v="1"/>
    <x v="1"/>
    <x v="4"/>
    <x v="7"/>
    <x v="3"/>
    <n v="180"/>
    <n v="180"/>
    <n v="94.87"/>
    <n v="85.13"/>
    <n v="0.47289999999999999"/>
    <n v="0.52710000000000001"/>
    <n v="188"/>
    <n v="0.17860000000000001"/>
    <x v="1"/>
    <x v="1"/>
  </r>
  <r>
    <s v="ORD-00436"/>
    <x v="335"/>
    <x v="0"/>
    <x v="0"/>
    <x v="4"/>
    <x v="2"/>
    <x v="3"/>
    <x v="0"/>
    <x v="1"/>
    <x v="0"/>
    <x v="3"/>
    <x v="4"/>
    <n v="600"/>
    <n v="540"/>
    <n v="315.01"/>
    <n v="224.99"/>
    <n v="0.41660000000000003"/>
    <n v="0.58340000000000003"/>
    <n v="1027"/>
    <n v="0.68530000000000002"/>
    <x v="1"/>
    <x v="1"/>
  </r>
  <r>
    <s v="ORD-00437"/>
    <x v="336"/>
    <x v="3"/>
    <x v="2"/>
    <x v="1"/>
    <x v="2"/>
    <x v="2"/>
    <x v="1"/>
    <x v="0"/>
    <x v="0"/>
    <x v="8"/>
    <x v="0"/>
    <n v="400"/>
    <n v="388"/>
    <n v="204.16"/>
    <n v="183.84"/>
    <n v="0.4738"/>
    <n v="0.5262"/>
    <n v="303"/>
    <n v="0.43109999999999998"/>
    <x v="1"/>
    <x v="1"/>
  </r>
  <r>
    <s v="ORD-00438"/>
    <x v="337"/>
    <x v="2"/>
    <x v="1"/>
    <x v="0"/>
    <x v="5"/>
    <x v="0"/>
    <x v="0"/>
    <x v="1"/>
    <x v="3"/>
    <x v="6"/>
    <x v="5"/>
    <n v="3000"/>
    <n v="2850"/>
    <n v="1780.19"/>
    <n v="1069.81"/>
    <n v="0.37540000000000001"/>
    <n v="0.62460000000000004"/>
    <n v="2240"/>
    <n v="4.2411000000000003"/>
    <x v="1"/>
    <x v="1"/>
  </r>
  <r>
    <s v="ORD-00439"/>
    <x v="338"/>
    <x v="4"/>
    <x v="2"/>
    <x v="0"/>
    <x v="2"/>
    <x v="3"/>
    <x v="0"/>
    <x v="0"/>
    <x v="0"/>
    <x v="8"/>
    <x v="3"/>
    <n v="400"/>
    <n v="400"/>
    <n v="264.99"/>
    <n v="135.01"/>
    <n v="0.33750000000000002"/>
    <n v="0.66249999999999998"/>
    <n v="494"/>
    <n v="0.63490000000000002"/>
    <x v="1"/>
    <x v="1"/>
  </r>
  <r>
    <s v="ORD-00440"/>
    <x v="339"/>
    <x v="4"/>
    <x v="2"/>
    <x v="1"/>
    <x v="4"/>
    <x v="2"/>
    <x v="0"/>
    <x v="0"/>
    <x v="0"/>
    <x v="4"/>
    <x v="4"/>
    <n v="160"/>
    <n v="144"/>
    <n v="105.97"/>
    <n v="38.03"/>
    <n v="0.2641"/>
    <n v="0.7359"/>
    <n v="155"/>
    <n v="0.1333"/>
    <x v="1"/>
    <x v="1"/>
  </r>
  <r>
    <s v="ORD-00441"/>
    <x v="160"/>
    <x v="1"/>
    <x v="0"/>
    <x v="2"/>
    <x v="0"/>
    <x v="1"/>
    <x v="0"/>
    <x v="0"/>
    <x v="3"/>
    <x v="3"/>
    <x v="0"/>
    <n v="900"/>
    <n v="873"/>
    <n v="648.38"/>
    <n v="224.62"/>
    <n v="0.25729999999999997"/>
    <n v="0.74270000000000003"/>
    <n v="696"/>
    <n v="1.1192"/>
    <x v="1"/>
    <x v="1"/>
  </r>
  <r>
    <s v="ORD-00442"/>
    <x v="340"/>
    <x v="1"/>
    <x v="0"/>
    <x v="1"/>
    <x v="5"/>
    <x v="2"/>
    <x v="0"/>
    <x v="1"/>
    <x v="3"/>
    <x v="3"/>
    <x v="4"/>
    <n v="900"/>
    <n v="810"/>
    <n v="402.51"/>
    <n v="407.49"/>
    <n v="0.50309999999999999"/>
    <n v="0.49690000000000001"/>
    <n v="964"/>
    <n v="0.85709999999999997"/>
    <x v="1"/>
    <x v="1"/>
  </r>
  <r>
    <s v="ORD-00443"/>
    <x v="41"/>
    <x v="2"/>
    <x v="1"/>
    <x v="2"/>
    <x v="4"/>
    <x v="0"/>
    <x v="0"/>
    <x v="0"/>
    <x v="3"/>
    <x v="9"/>
    <x v="1"/>
    <n v="480"/>
    <n v="408"/>
    <n v="245.28"/>
    <n v="162.72"/>
    <n v="0.39879999999999999"/>
    <n v="0.60119999999999996"/>
    <n v="243"/>
    <n v="0.52310000000000001"/>
    <x v="1"/>
    <x v="1"/>
  </r>
  <r>
    <s v="ORD-00444"/>
    <x v="341"/>
    <x v="3"/>
    <x v="2"/>
    <x v="4"/>
    <x v="3"/>
    <x v="2"/>
    <x v="1"/>
    <x v="0"/>
    <x v="3"/>
    <x v="4"/>
    <x v="0"/>
    <n v="240"/>
    <n v="232.8"/>
    <n v="167.61"/>
    <n v="65.19"/>
    <n v="0.28000000000000003"/>
    <n v="0.72"/>
    <n v="107"/>
    <n v="0.27710000000000001"/>
    <x v="0"/>
    <x v="3"/>
  </r>
  <r>
    <s v="ORD-00445"/>
    <x v="342"/>
    <x v="3"/>
    <x v="2"/>
    <x v="4"/>
    <x v="0"/>
    <x v="0"/>
    <x v="1"/>
    <x v="0"/>
    <x v="4"/>
    <x v="1"/>
    <x v="2"/>
    <n v="75"/>
    <n v="69"/>
    <n v="51.19"/>
    <n v="17.809999999999999"/>
    <n v="0.2581"/>
    <n v="0.7419"/>
    <n v="74"/>
    <n v="7.6700000000000004E-2"/>
    <x v="1"/>
    <x v="1"/>
  </r>
  <r>
    <s v="ORD-00446"/>
    <x v="343"/>
    <x v="3"/>
    <x v="2"/>
    <x v="1"/>
    <x v="3"/>
    <x v="0"/>
    <x v="1"/>
    <x v="0"/>
    <x v="2"/>
    <x v="7"/>
    <x v="2"/>
    <n v="120"/>
    <n v="110.4"/>
    <n v="67.790000000000006"/>
    <n v="42.61"/>
    <n v="0.38600000000000001"/>
    <n v="0.61399999999999999"/>
    <n v="66"/>
    <n v="0.1227"/>
    <x v="1"/>
    <x v="1"/>
  </r>
  <r>
    <s v="ORD-00447"/>
    <x v="239"/>
    <x v="2"/>
    <x v="1"/>
    <x v="0"/>
    <x v="3"/>
    <x v="1"/>
    <x v="0"/>
    <x v="0"/>
    <x v="7"/>
    <x v="9"/>
    <x v="2"/>
    <n v="560"/>
    <n v="515.20000000000005"/>
    <n v="285.76"/>
    <n v="229.44"/>
    <n v="0.44529999999999997"/>
    <n v="0.55469999999999997"/>
    <n v="702"/>
    <n v="0.71560000000000001"/>
    <x v="1"/>
    <x v="1"/>
  </r>
  <r>
    <s v="ORD-00448"/>
    <x v="344"/>
    <x v="2"/>
    <x v="1"/>
    <x v="2"/>
    <x v="3"/>
    <x v="1"/>
    <x v="1"/>
    <x v="0"/>
    <x v="0"/>
    <x v="5"/>
    <x v="3"/>
    <n v="3000"/>
    <n v="3000"/>
    <n v="1667.09"/>
    <n v="1332.91"/>
    <n v="0.44429999999999997"/>
    <n v="0.55569999999999997"/>
    <n v="4042"/>
    <n v="4.6154000000000002"/>
    <x v="1"/>
    <x v="1"/>
  </r>
  <r>
    <s v="ORD-00449"/>
    <x v="345"/>
    <x v="1"/>
    <x v="0"/>
    <x v="4"/>
    <x v="0"/>
    <x v="1"/>
    <x v="0"/>
    <x v="0"/>
    <x v="3"/>
    <x v="0"/>
    <x v="2"/>
    <n v="1800"/>
    <n v="1656"/>
    <n v="1302.72"/>
    <n v="353.28"/>
    <n v="0.21329999999999999"/>
    <n v="0.78669999999999995"/>
    <n v="3795"/>
    <n v="1.84"/>
    <x v="1"/>
    <x v="1"/>
  </r>
  <r>
    <s v="ORD-00450"/>
    <x v="346"/>
    <x v="2"/>
    <x v="1"/>
    <x v="2"/>
    <x v="1"/>
    <x v="2"/>
    <x v="1"/>
    <x v="0"/>
    <x v="3"/>
    <x v="3"/>
    <x v="4"/>
    <n v="900"/>
    <n v="810"/>
    <n v="519.65"/>
    <n v="290.35000000000002"/>
    <n v="0.35849999999999999"/>
    <n v="0.64149999999999996"/>
    <n v="703"/>
    <n v="1.1877"/>
    <x v="0"/>
    <x v="3"/>
  </r>
  <r>
    <s v="ORD-00451"/>
    <x v="347"/>
    <x v="3"/>
    <x v="2"/>
    <x v="0"/>
    <x v="4"/>
    <x v="1"/>
    <x v="1"/>
    <x v="0"/>
    <x v="3"/>
    <x v="2"/>
    <x v="0"/>
    <n v="1200"/>
    <n v="1164"/>
    <n v="618.92999999999995"/>
    <n v="545.07000000000005"/>
    <n v="0.46829999999999999"/>
    <n v="0.53169999999999995"/>
    <n v="679"/>
    <n v="1.6167"/>
    <x v="1"/>
    <x v="1"/>
  </r>
  <r>
    <s v="ORD-00452"/>
    <x v="348"/>
    <x v="2"/>
    <x v="1"/>
    <x v="2"/>
    <x v="5"/>
    <x v="2"/>
    <x v="0"/>
    <x v="0"/>
    <x v="4"/>
    <x v="6"/>
    <x v="2"/>
    <n v="1500"/>
    <n v="1380"/>
    <n v="788.57"/>
    <n v="591.42999999999995"/>
    <n v="0.42859999999999998"/>
    <n v="0.57140000000000002"/>
    <n v="647"/>
    <n v="2.0234999999999999"/>
    <x v="1"/>
    <x v="1"/>
  </r>
  <r>
    <s v="ORD-00453"/>
    <x v="349"/>
    <x v="1"/>
    <x v="0"/>
    <x v="1"/>
    <x v="4"/>
    <x v="0"/>
    <x v="0"/>
    <x v="0"/>
    <x v="0"/>
    <x v="9"/>
    <x v="2"/>
    <n v="320"/>
    <n v="294.39999999999998"/>
    <n v="206.31"/>
    <n v="88.09"/>
    <n v="0.29920000000000002"/>
    <n v="0.70079999999999998"/>
    <n v="356"/>
    <n v="0.27260000000000001"/>
    <x v="1"/>
    <x v="1"/>
  </r>
  <r>
    <s v="ORD-00454"/>
    <x v="183"/>
    <x v="5"/>
    <x v="3"/>
    <x v="0"/>
    <x v="2"/>
    <x v="2"/>
    <x v="0"/>
    <x v="0"/>
    <x v="2"/>
    <x v="0"/>
    <x v="2"/>
    <n v="600"/>
    <n v="552"/>
    <n v="342.3"/>
    <n v="209.7"/>
    <n v="0.37990000000000002"/>
    <n v="0.62009999999999998"/>
    <n v="669"/>
    <n v="0.82140000000000002"/>
    <x v="1"/>
    <x v="1"/>
  </r>
  <r>
    <s v="ORD-00455"/>
    <x v="67"/>
    <x v="0"/>
    <x v="0"/>
    <x v="0"/>
    <x v="0"/>
    <x v="0"/>
    <x v="1"/>
    <x v="0"/>
    <x v="7"/>
    <x v="7"/>
    <x v="0"/>
    <n v="420"/>
    <n v="407.4"/>
    <n v="312.74"/>
    <n v="94.66"/>
    <n v="0.2324"/>
    <n v="0.76759999999999995"/>
    <n v="772"/>
    <n v="0.56579999999999997"/>
    <x v="1"/>
    <x v="1"/>
  </r>
  <r>
    <s v="ORD-00456"/>
    <x v="208"/>
    <x v="3"/>
    <x v="2"/>
    <x v="2"/>
    <x v="4"/>
    <x v="1"/>
    <x v="0"/>
    <x v="1"/>
    <x v="1"/>
    <x v="3"/>
    <x v="5"/>
    <n v="750"/>
    <n v="712.5"/>
    <n v="475.95"/>
    <n v="236.55"/>
    <n v="0.33200000000000002"/>
    <n v="0.66800000000000004"/>
    <n v="849"/>
    <n v="0.91349999999999998"/>
    <x v="1"/>
    <x v="1"/>
  </r>
  <r>
    <s v="ORD-00457"/>
    <x v="350"/>
    <x v="3"/>
    <x v="2"/>
    <x v="0"/>
    <x v="4"/>
    <x v="1"/>
    <x v="0"/>
    <x v="0"/>
    <x v="2"/>
    <x v="6"/>
    <x v="5"/>
    <n v="1000"/>
    <n v="950"/>
    <n v="622.45000000000005"/>
    <n v="327.55"/>
    <n v="0.3448"/>
    <n v="0.6552"/>
    <n v="1038"/>
    <n v="1.4137"/>
    <x v="0"/>
    <x v="6"/>
  </r>
  <r>
    <s v="ORD-00458"/>
    <x v="351"/>
    <x v="2"/>
    <x v="1"/>
    <x v="2"/>
    <x v="4"/>
    <x v="0"/>
    <x v="0"/>
    <x v="0"/>
    <x v="5"/>
    <x v="1"/>
    <x v="5"/>
    <n v="25"/>
    <n v="23.75"/>
    <n v="15.9"/>
    <n v="7.85"/>
    <n v="0.33050000000000002"/>
    <n v="0.66949999999999998"/>
    <n v="19"/>
    <n v="3.04E-2"/>
    <x v="1"/>
    <x v="1"/>
  </r>
  <r>
    <s v="ORD-00459"/>
    <x v="352"/>
    <x v="5"/>
    <x v="3"/>
    <x v="4"/>
    <x v="4"/>
    <x v="2"/>
    <x v="1"/>
    <x v="1"/>
    <x v="2"/>
    <x v="1"/>
    <x v="1"/>
    <n v="50"/>
    <n v="42.5"/>
    <n v="27.84"/>
    <n v="14.66"/>
    <n v="0.34489999999999998"/>
    <n v="0.65510000000000002"/>
    <n v="37"/>
    <n v="5.0599999999999999E-2"/>
    <x v="1"/>
    <x v="1"/>
  </r>
  <r>
    <s v="ORD-00460"/>
    <x v="95"/>
    <x v="1"/>
    <x v="0"/>
    <x v="1"/>
    <x v="2"/>
    <x v="1"/>
    <x v="1"/>
    <x v="0"/>
    <x v="4"/>
    <x v="2"/>
    <x v="3"/>
    <n v="600"/>
    <n v="600"/>
    <n v="461.47"/>
    <n v="138.53"/>
    <n v="0.23089999999999999"/>
    <n v="0.76910000000000001"/>
    <n v="636"/>
    <n v="0.66669999999999996"/>
    <x v="1"/>
    <x v="1"/>
  </r>
  <r>
    <s v="ORD-00461"/>
    <x v="205"/>
    <x v="1"/>
    <x v="0"/>
    <x v="4"/>
    <x v="0"/>
    <x v="1"/>
    <x v="0"/>
    <x v="1"/>
    <x v="7"/>
    <x v="2"/>
    <x v="2"/>
    <n v="1400"/>
    <n v="1288"/>
    <n v="857.67"/>
    <n v="430.33"/>
    <n v="0.33410000000000001"/>
    <n v="0.66590000000000005"/>
    <n v="1963"/>
    <n v="1.7173"/>
    <x v="1"/>
    <x v="1"/>
  </r>
  <r>
    <s v="ORD-00462"/>
    <x v="210"/>
    <x v="1"/>
    <x v="0"/>
    <x v="1"/>
    <x v="1"/>
    <x v="0"/>
    <x v="0"/>
    <x v="1"/>
    <x v="0"/>
    <x v="8"/>
    <x v="5"/>
    <n v="400"/>
    <n v="380"/>
    <n v="216.74"/>
    <n v="163.26"/>
    <n v="0.42959999999999998"/>
    <n v="0.57040000000000002"/>
    <n v="439"/>
    <n v="0.377"/>
    <x v="1"/>
    <x v="1"/>
  </r>
  <r>
    <s v="ORD-00463"/>
    <x v="151"/>
    <x v="4"/>
    <x v="2"/>
    <x v="0"/>
    <x v="3"/>
    <x v="0"/>
    <x v="0"/>
    <x v="0"/>
    <x v="2"/>
    <x v="0"/>
    <x v="3"/>
    <n v="600"/>
    <n v="600"/>
    <n v="395.83"/>
    <n v="204.17"/>
    <n v="0.34029999999999999"/>
    <n v="0.65969999999999995"/>
    <n v="710"/>
    <n v="1"/>
    <x v="1"/>
    <x v="1"/>
  </r>
  <r>
    <s v="ORD-00464"/>
    <x v="353"/>
    <x v="1"/>
    <x v="0"/>
    <x v="1"/>
    <x v="4"/>
    <x v="2"/>
    <x v="0"/>
    <x v="1"/>
    <x v="1"/>
    <x v="7"/>
    <x v="3"/>
    <n v="300"/>
    <n v="300"/>
    <n v="220.11"/>
    <n v="79.89"/>
    <n v="0.26629999999999998"/>
    <n v="0.73370000000000002"/>
    <n v="366"/>
    <n v="0.3175"/>
    <x v="1"/>
    <x v="1"/>
  </r>
  <r>
    <s v="ORD-00465"/>
    <x v="354"/>
    <x v="3"/>
    <x v="2"/>
    <x v="0"/>
    <x v="3"/>
    <x v="1"/>
    <x v="0"/>
    <x v="0"/>
    <x v="3"/>
    <x v="7"/>
    <x v="0"/>
    <n v="360"/>
    <n v="349.2"/>
    <n v="226.09"/>
    <n v="123.11"/>
    <n v="0.35249999999999998"/>
    <n v="0.64749999999999996"/>
    <n v="378"/>
    <n v="0.51959999999999995"/>
    <x v="1"/>
    <x v="1"/>
  </r>
  <r>
    <s v="ORD-00466"/>
    <x v="355"/>
    <x v="5"/>
    <x v="3"/>
    <x v="0"/>
    <x v="4"/>
    <x v="0"/>
    <x v="0"/>
    <x v="1"/>
    <x v="2"/>
    <x v="8"/>
    <x v="2"/>
    <n v="200"/>
    <n v="184"/>
    <n v="104.09"/>
    <n v="79.91"/>
    <n v="0.43430000000000002"/>
    <n v="0.56569999999999998"/>
    <n v="216"/>
    <n v="0.29210000000000003"/>
    <x v="1"/>
    <x v="1"/>
  </r>
  <r>
    <s v="ORD-00467"/>
    <x v="128"/>
    <x v="1"/>
    <x v="0"/>
    <x v="1"/>
    <x v="2"/>
    <x v="0"/>
    <x v="0"/>
    <x v="1"/>
    <x v="3"/>
    <x v="7"/>
    <x v="0"/>
    <n v="360"/>
    <n v="349.2"/>
    <n v="260.44"/>
    <n v="88.76"/>
    <n v="0.25419999999999998"/>
    <n v="0.74580000000000002"/>
    <n v="583"/>
    <n v="0.32329999999999998"/>
    <x v="1"/>
    <x v="1"/>
  </r>
  <r>
    <s v="ORD-00468"/>
    <x v="76"/>
    <x v="0"/>
    <x v="0"/>
    <x v="3"/>
    <x v="2"/>
    <x v="1"/>
    <x v="0"/>
    <x v="1"/>
    <x v="4"/>
    <x v="2"/>
    <x v="5"/>
    <n v="600"/>
    <n v="570"/>
    <n v="448.41"/>
    <n v="121.59"/>
    <n v="0.21329999999999999"/>
    <n v="0.78669999999999995"/>
    <n v="621"/>
    <n v="0.71250000000000002"/>
    <x v="1"/>
    <x v="1"/>
  </r>
  <r>
    <s v="ORD-00469"/>
    <x v="242"/>
    <x v="1"/>
    <x v="0"/>
    <x v="2"/>
    <x v="2"/>
    <x v="3"/>
    <x v="0"/>
    <x v="0"/>
    <x v="0"/>
    <x v="9"/>
    <x v="1"/>
    <n v="320"/>
    <n v="272"/>
    <n v="129.61000000000001"/>
    <n v="142.38999999999999"/>
    <n v="0.52349999999999997"/>
    <n v="0.47649999999999998"/>
    <n v="330"/>
    <n v="0.39879999999999999"/>
    <x v="1"/>
    <x v="1"/>
  </r>
  <r>
    <s v="ORD-00470"/>
    <x v="356"/>
    <x v="5"/>
    <x v="3"/>
    <x v="3"/>
    <x v="4"/>
    <x v="2"/>
    <x v="0"/>
    <x v="1"/>
    <x v="5"/>
    <x v="0"/>
    <x v="1"/>
    <n v="300"/>
    <n v="255"/>
    <n v="167.45"/>
    <n v="87.55"/>
    <n v="0.34329999999999999"/>
    <n v="0.65669999999999995"/>
    <n v="118"/>
    <n v="0.28460000000000002"/>
    <x v="1"/>
    <x v="1"/>
  </r>
  <r>
    <s v="ORD-00471"/>
    <x v="357"/>
    <x v="4"/>
    <x v="2"/>
    <x v="3"/>
    <x v="5"/>
    <x v="2"/>
    <x v="0"/>
    <x v="0"/>
    <x v="0"/>
    <x v="3"/>
    <x v="0"/>
    <n v="600"/>
    <n v="582"/>
    <n v="423.36"/>
    <n v="158.63999999999999"/>
    <n v="0.27260000000000001"/>
    <n v="0.72740000000000005"/>
    <n v="627"/>
    <n v="0.64959999999999996"/>
    <x v="1"/>
    <x v="1"/>
  </r>
  <r>
    <s v="ORD-00472"/>
    <x v="358"/>
    <x v="2"/>
    <x v="1"/>
    <x v="1"/>
    <x v="2"/>
    <x v="3"/>
    <x v="1"/>
    <x v="1"/>
    <x v="0"/>
    <x v="0"/>
    <x v="1"/>
    <n v="1200"/>
    <n v="1020"/>
    <n v="670.98"/>
    <n v="349.02"/>
    <n v="0.3422"/>
    <n v="0.65780000000000005"/>
    <n v="472"/>
    <n v="0.94440000000000002"/>
    <x v="1"/>
    <x v="1"/>
  </r>
  <r>
    <s v="ORD-00473"/>
    <x v="359"/>
    <x v="1"/>
    <x v="0"/>
    <x v="2"/>
    <x v="3"/>
    <x v="1"/>
    <x v="0"/>
    <x v="0"/>
    <x v="1"/>
    <x v="5"/>
    <x v="2"/>
    <n v="3750"/>
    <n v="3450"/>
    <n v="1887.34"/>
    <n v="1562.66"/>
    <n v="0.45290000000000002"/>
    <n v="0.54710000000000003"/>
    <n v="2681"/>
    <n v="5.3076999999999996"/>
    <x v="1"/>
    <x v="1"/>
  </r>
  <r>
    <s v="ORD-00474"/>
    <x v="170"/>
    <x v="5"/>
    <x v="3"/>
    <x v="4"/>
    <x v="4"/>
    <x v="1"/>
    <x v="1"/>
    <x v="0"/>
    <x v="5"/>
    <x v="0"/>
    <x v="5"/>
    <n v="300"/>
    <n v="285"/>
    <n v="171.62"/>
    <n v="113.38"/>
    <n v="0.39779999999999999"/>
    <n v="0.60219999999999996"/>
    <n v="345"/>
    <n v="0.33929999999999999"/>
    <x v="0"/>
    <x v="7"/>
  </r>
  <r>
    <s v="ORD-00475"/>
    <x v="360"/>
    <x v="3"/>
    <x v="2"/>
    <x v="2"/>
    <x v="3"/>
    <x v="0"/>
    <x v="0"/>
    <x v="1"/>
    <x v="4"/>
    <x v="9"/>
    <x v="1"/>
    <n v="240"/>
    <n v="204"/>
    <n v="126.7"/>
    <n v="77.3"/>
    <n v="0.37890000000000001"/>
    <n v="0.62109999999999999"/>
    <n v="308"/>
    <n v="0.29909999999999998"/>
    <x v="0"/>
    <x v="5"/>
  </r>
  <r>
    <s v="ORD-00476"/>
    <x v="69"/>
    <x v="2"/>
    <x v="1"/>
    <x v="0"/>
    <x v="5"/>
    <x v="0"/>
    <x v="1"/>
    <x v="1"/>
    <x v="4"/>
    <x v="8"/>
    <x v="4"/>
    <n v="300"/>
    <n v="270"/>
    <n v="116.1"/>
    <n v="153.9"/>
    <n v="0.56999999999999995"/>
    <n v="0.43"/>
    <n v="212"/>
    <n v="0.45"/>
    <x v="0"/>
    <x v="5"/>
  </r>
  <r>
    <s v="ORD-00477"/>
    <x v="257"/>
    <x v="5"/>
    <x v="3"/>
    <x v="2"/>
    <x v="4"/>
    <x v="2"/>
    <x v="1"/>
    <x v="0"/>
    <x v="2"/>
    <x v="8"/>
    <x v="3"/>
    <n v="200"/>
    <n v="200"/>
    <n v="106.24"/>
    <n v="93.76"/>
    <n v="0.46879999999999999"/>
    <n v="0.53120000000000001"/>
    <n v="211"/>
    <n v="0.30769999999999997"/>
    <x v="1"/>
    <x v="1"/>
  </r>
  <r>
    <s v="ORD-00478"/>
    <x v="355"/>
    <x v="2"/>
    <x v="1"/>
    <x v="1"/>
    <x v="5"/>
    <x v="1"/>
    <x v="1"/>
    <x v="0"/>
    <x v="1"/>
    <x v="9"/>
    <x v="4"/>
    <n v="400"/>
    <n v="360"/>
    <n v="230.68"/>
    <n v="129.32"/>
    <n v="0.35920000000000002"/>
    <n v="0.64080000000000004"/>
    <n v="442"/>
    <n v="0.38100000000000001"/>
    <x v="1"/>
    <x v="1"/>
  </r>
  <r>
    <s v="ORD-00479"/>
    <x v="351"/>
    <x v="5"/>
    <x v="3"/>
    <x v="1"/>
    <x v="0"/>
    <x v="1"/>
    <x v="0"/>
    <x v="0"/>
    <x v="1"/>
    <x v="4"/>
    <x v="2"/>
    <n v="200"/>
    <n v="184"/>
    <n v="134.56"/>
    <n v="49.44"/>
    <n v="0.26869999999999999"/>
    <n v="0.73129999999999995"/>
    <n v="109"/>
    <n v="0.1704"/>
    <x v="0"/>
    <x v="2"/>
  </r>
  <r>
    <s v="ORD-00480"/>
    <x v="361"/>
    <x v="1"/>
    <x v="0"/>
    <x v="4"/>
    <x v="4"/>
    <x v="0"/>
    <x v="1"/>
    <x v="0"/>
    <x v="4"/>
    <x v="9"/>
    <x v="0"/>
    <n v="240"/>
    <n v="232.8"/>
    <n v="154.44"/>
    <n v="78.36"/>
    <n v="0.33660000000000001"/>
    <n v="0.66339999999999999"/>
    <n v="155"/>
    <n v="0.31040000000000001"/>
    <x v="1"/>
    <x v="1"/>
  </r>
  <r>
    <s v="ORD-00481"/>
    <x v="216"/>
    <x v="3"/>
    <x v="2"/>
    <x v="0"/>
    <x v="2"/>
    <x v="0"/>
    <x v="0"/>
    <x v="0"/>
    <x v="2"/>
    <x v="8"/>
    <x v="0"/>
    <n v="200"/>
    <n v="194"/>
    <n v="137.66"/>
    <n v="56.34"/>
    <n v="0.29039999999999999"/>
    <n v="0.70960000000000001"/>
    <n v="208"/>
    <n v="0.26939999999999997"/>
    <x v="1"/>
    <x v="1"/>
  </r>
  <r>
    <s v="ORD-00482"/>
    <x v="362"/>
    <x v="4"/>
    <x v="2"/>
    <x v="0"/>
    <x v="1"/>
    <x v="0"/>
    <x v="1"/>
    <x v="0"/>
    <x v="3"/>
    <x v="5"/>
    <x v="5"/>
    <n v="4500"/>
    <n v="4275"/>
    <n v="2769.77"/>
    <n v="1505.23"/>
    <n v="0.35210000000000002"/>
    <n v="0.64790000000000003"/>
    <n v="4479"/>
    <n v="7.125"/>
    <x v="1"/>
    <x v="1"/>
  </r>
  <r>
    <s v="ORD-00483"/>
    <x v="363"/>
    <x v="2"/>
    <x v="1"/>
    <x v="1"/>
    <x v="5"/>
    <x v="0"/>
    <x v="0"/>
    <x v="0"/>
    <x v="6"/>
    <x v="6"/>
    <x v="0"/>
    <n v="4000"/>
    <n v="3880"/>
    <n v="2467.33"/>
    <n v="1412.67"/>
    <n v="0.36409999999999998"/>
    <n v="0.63590000000000002"/>
    <n v="1803"/>
    <n v="4.3110999999999997"/>
    <x v="0"/>
    <x v="8"/>
  </r>
  <r>
    <s v="ORD-00484"/>
    <x v="193"/>
    <x v="5"/>
    <x v="3"/>
    <x v="2"/>
    <x v="2"/>
    <x v="2"/>
    <x v="0"/>
    <x v="0"/>
    <x v="2"/>
    <x v="5"/>
    <x v="2"/>
    <n v="1500"/>
    <n v="1380"/>
    <n v="771.76"/>
    <n v="608.24"/>
    <n v="0.44080000000000003"/>
    <n v="0.55920000000000003"/>
    <n v="914"/>
    <n v="2.1231"/>
    <x v="1"/>
    <x v="1"/>
  </r>
  <r>
    <s v="ORD-00485"/>
    <x v="118"/>
    <x v="2"/>
    <x v="1"/>
    <x v="3"/>
    <x v="3"/>
    <x v="1"/>
    <x v="0"/>
    <x v="0"/>
    <x v="0"/>
    <x v="8"/>
    <x v="5"/>
    <n v="400"/>
    <n v="380"/>
    <n v="311.60000000000002"/>
    <n v="68.400000000000006"/>
    <n v="0.18"/>
    <n v="0.82"/>
    <n v="324"/>
    <n v="0.45240000000000002"/>
    <x v="1"/>
    <x v="1"/>
  </r>
  <r>
    <s v="ORD-00486"/>
    <x v="364"/>
    <x v="2"/>
    <x v="1"/>
    <x v="0"/>
    <x v="3"/>
    <x v="2"/>
    <x v="1"/>
    <x v="0"/>
    <x v="3"/>
    <x v="7"/>
    <x v="2"/>
    <n v="360"/>
    <n v="331.2"/>
    <n v="198.59"/>
    <n v="132.61000000000001"/>
    <n v="0.40039999999999998"/>
    <n v="0.59960000000000002"/>
    <n v="502"/>
    <n v="0.4929"/>
    <x v="1"/>
    <x v="1"/>
  </r>
  <r>
    <s v="ORD-00487"/>
    <x v="290"/>
    <x v="5"/>
    <x v="3"/>
    <x v="3"/>
    <x v="5"/>
    <x v="0"/>
    <x v="0"/>
    <x v="0"/>
    <x v="2"/>
    <x v="7"/>
    <x v="0"/>
    <n v="120"/>
    <n v="116.4"/>
    <n v="93.27"/>
    <n v="23.13"/>
    <n v="0.19869999999999999"/>
    <n v="0.80130000000000001"/>
    <n v="69"/>
    <n v="0.14549999999999999"/>
    <x v="1"/>
    <x v="1"/>
  </r>
  <r>
    <s v="ORD-00488"/>
    <x v="365"/>
    <x v="1"/>
    <x v="0"/>
    <x v="1"/>
    <x v="1"/>
    <x v="3"/>
    <x v="0"/>
    <x v="0"/>
    <x v="1"/>
    <x v="3"/>
    <x v="0"/>
    <n v="750"/>
    <n v="727.5"/>
    <n v="497.69"/>
    <n v="229.81"/>
    <n v="0.31590000000000001"/>
    <n v="0.68410000000000004"/>
    <n v="1199"/>
    <n v="0.72170000000000001"/>
    <x v="1"/>
    <x v="1"/>
  </r>
  <r>
    <s v="ORD-00489"/>
    <x v="366"/>
    <x v="4"/>
    <x v="2"/>
    <x v="2"/>
    <x v="0"/>
    <x v="3"/>
    <x v="0"/>
    <x v="1"/>
    <x v="5"/>
    <x v="9"/>
    <x v="5"/>
    <n v="80"/>
    <n v="76"/>
    <n v="44.31"/>
    <n v="31.69"/>
    <n v="0.41699999999999998"/>
    <n v="0.58299999999999996"/>
    <n v="90"/>
    <n v="0.1169"/>
    <x v="1"/>
    <x v="1"/>
  </r>
  <r>
    <s v="ORD-00490"/>
    <x v="367"/>
    <x v="2"/>
    <x v="1"/>
    <x v="4"/>
    <x v="3"/>
    <x v="1"/>
    <x v="0"/>
    <x v="0"/>
    <x v="1"/>
    <x v="6"/>
    <x v="4"/>
    <n v="2500"/>
    <n v="2250"/>
    <n v="1510.58"/>
    <n v="739.42"/>
    <n v="0.3286"/>
    <n v="0.6714"/>
    <n v="2711"/>
    <n v="2.8553000000000002"/>
    <x v="1"/>
    <x v="1"/>
  </r>
  <r>
    <s v="ORD-00491"/>
    <x v="368"/>
    <x v="2"/>
    <x v="1"/>
    <x v="0"/>
    <x v="1"/>
    <x v="1"/>
    <x v="1"/>
    <x v="0"/>
    <x v="3"/>
    <x v="5"/>
    <x v="5"/>
    <n v="4500"/>
    <n v="4275"/>
    <n v="3144.74"/>
    <n v="1130.26"/>
    <n v="0.26440000000000002"/>
    <n v="0.73560000000000003"/>
    <n v="3721"/>
    <n v="6.3616000000000001"/>
    <x v="1"/>
    <x v="1"/>
  </r>
  <r>
    <s v="ORD-00492"/>
    <x v="369"/>
    <x v="3"/>
    <x v="2"/>
    <x v="1"/>
    <x v="0"/>
    <x v="0"/>
    <x v="0"/>
    <x v="0"/>
    <x v="8"/>
    <x v="8"/>
    <x v="4"/>
    <n v="900"/>
    <n v="810"/>
    <n v="488.18"/>
    <n v="321.82"/>
    <n v="0.39729999999999999"/>
    <n v="0.60270000000000001"/>
    <n v="858"/>
    <n v="0.85709999999999997"/>
    <x v="1"/>
    <x v="1"/>
  </r>
  <r>
    <s v="ORD-00493"/>
    <x v="150"/>
    <x v="0"/>
    <x v="0"/>
    <x v="2"/>
    <x v="3"/>
    <x v="3"/>
    <x v="0"/>
    <x v="0"/>
    <x v="1"/>
    <x v="1"/>
    <x v="5"/>
    <n v="125"/>
    <n v="118.75"/>
    <n v="79.510000000000005"/>
    <n v="39.24"/>
    <n v="0.33040000000000003"/>
    <n v="0.66959999999999997"/>
    <n v="94"/>
    <n v="0.16309999999999999"/>
    <x v="1"/>
    <x v="1"/>
  </r>
  <r>
    <s v="ORD-00494"/>
    <x v="125"/>
    <x v="4"/>
    <x v="2"/>
    <x v="0"/>
    <x v="3"/>
    <x v="0"/>
    <x v="1"/>
    <x v="0"/>
    <x v="2"/>
    <x v="7"/>
    <x v="5"/>
    <n v="120"/>
    <n v="114"/>
    <n v="73.569999999999993"/>
    <n v="40.43"/>
    <n v="0.35460000000000003"/>
    <n v="0.64539999999999997"/>
    <n v="139"/>
    <n v="0.1696"/>
    <x v="1"/>
    <x v="1"/>
  </r>
  <r>
    <s v="ORD-00495"/>
    <x v="204"/>
    <x v="5"/>
    <x v="3"/>
    <x v="1"/>
    <x v="5"/>
    <x v="0"/>
    <x v="1"/>
    <x v="0"/>
    <x v="0"/>
    <x v="9"/>
    <x v="5"/>
    <n v="320"/>
    <n v="304"/>
    <n v="216.74"/>
    <n v="87.26"/>
    <n v="0.28699999999999998"/>
    <n v="0.71299999999999997"/>
    <n v="376"/>
    <n v="0.33779999999999999"/>
    <x v="1"/>
    <x v="1"/>
  </r>
  <r>
    <s v="ORD-00496"/>
    <x v="370"/>
    <x v="3"/>
    <x v="2"/>
    <x v="4"/>
    <x v="5"/>
    <x v="1"/>
    <x v="1"/>
    <x v="0"/>
    <x v="4"/>
    <x v="9"/>
    <x v="1"/>
    <n v="240"/>
    <n v="204"/>
    <n v="127.68"/>
    <n v="76.319999999999993"/>
    <n v="0.37409999999999999"/>
    <n v="0.62590000000000001"/>
    <n v="152"/>
    <n v="0.22670000000000001"/>
    <x v="1"/>
    <x v="1"/>
  </r>
  <r>
    <s v="ORD-00497"/>
    <x v="316"/>
    <x v="2"/>
    <x v="1"/>
    <x v="1"/>
    <x v="3"/>
    <x v="3"/>
    <x v="1"/>
    <x v="0"/>
    <x v="0"/>
    <x v="2"/>
    <x v="3"/>
    <n v="800"/>
    <n v="800"/>
    <n v="455.7"/>
    <n v="344.3"/>
    <n v="0.4304"/>
    <n v="0.5696"/>
    <n v="860"/>
    <n v="0.88890000000000002"/>
    <x v="1"/>
    <x v="1"/>
  </r>
  <r>
    <s v="ORD-00498"/>
    <x v="371"/>
    <x v="2"/>
    <x v="1"/>
    <x v="3"/>
    <x v="1"/>
    <x v="3"/>
    <x v="1"/>
    <x v="0"/>
    <x v="4"/>
    <x v="7"/>
    <x v="0"/>
    <n v="180"/>
    <n v="174.6"/>
    <n v="109.86"/>
    <n v="64.739999999999995"/>
    <n v="0.37080000000000002"/>
    <n v="0.62919999999999998"/>
    <n v="267"/>
    <n v="0.21820000000000001"/>
    <x v="1"/>
    <x v="1"/>
  </r>
  <r>
    <s v="ORD-00499"/>
    <x v="313"/>
    <x v="5"/>
    <x v="3"/>
    <x v="1"/>
    <x v="4"/>
    <x v="2"/>
    <x v="1"/>
    <x v="1"/>
    <x v="1"/>
    <x v="2"/>
    <x v="4"/>
    <n v="1000"/>
    <n v="900"/>
    <n v="589.04"/>
    <n v="310.95999999999998"/>
    <n v="0.34549999999999997"/>
    <n v="0.65449999999999997"/>
    <n v="963"/>
    <n v="0.95240000000000002"/>
    <x v="1"/>
    <x v="1"/>
  </r>
  <r>
    <s v="ORD-00500"/>
    <x v="372"/>
    <x v="2"/>
    <x v="1"/>
    <x v="0"/>
    <x v="1"/>
    <x v="0"/>
    <x v="0"/>
    <x v="0"/>
    <x v="5"/>
    <x v="7"/>
    <x v="3"/>
    <n v="60"/>
    <n v="60"/>
    <n v="43.39"/>
    <n v="16.61"/>
    <n v="0.27679999999999999"/>
    <n v="0.72319999999999995"/>
    <n v="672"/>
    <n v="8.9300000000000004E-2"/>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C6BD80-562F-4A47-9BE6-B159600C5AE9}" name="PivotTable3" cacheId="1"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6" fieldListSortAscending="1">
  <location ref="B27:G40" firstHeaderRow="0" firstDataRow="1" firstDataCol="1"/>
  <pivotFields count="25">
    <pivotField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pivotField showAll="0"/>
    <pivotField showAll="0"/>
    <pivotField showAll="0"/>
    <pivotField showAll="0"/>
    <pivotField showAll="0"/>
    <pivotField showAll="0"/>
    <pivotField dataField="1" showAll="0"/>
    <pivotField showAll="0"/>
    <pivotField showAll="0"/>
    <pivotField showAll="0"/>
    <pivotField dataField="1" showAll="0"/>
    <pivotField dataField="1" showAll="0"/>
    <pivotField dataField="1" showAll="0"/>
    <pivotField showAll="0"/>
    <pivotField showAll="0"/>
    <pivotField dataField="1"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1"/>
        <item sd="0" x="2"/>
        <item sd="0" x="3"/>
        <item sd="0" x="4"/>
        <item x="0"/>
        <item x="5"/>
        <item t="default"/>
      </items>
    </pivotField>
    <pivotField showAll="0">
      <items count="5">
        <item sd="0" x="2"/>
        <item h="1" x="0"/>
        <item x="1"/>
        <item h="1" x="3"/>
        <item t="default"/>
      </items>
    </pivotField>
  </pivotFields>
  <rowFields count="1">
    <field x="22"/>
  </rowFields>
  <rowItems count="13">
    <i>
      <x v="1"/>
    </i>
    <i>
      <x v="2"/>
    </i>
    <i>
      <x v="3"/>
    </i>
    <i>
      <x v="4"/>
    </i>
    <i>
      <x v="5"/>
    </i>
    <i>
      <x v="6"/>
    </i>
    <i>
      <x v="7"/>
    </i>
    <i>
      <x v="8"/>
    </i>
    <i>
      <x v="9"/>
    </i>
    <i>
      <x v="10"/>
    </i>
    <i>
      <x v="11"/>
    </i>
    <i>
      <x v="12"/>
    </i>
    <i t="grand">
      <x/>
    </i>
  </rowItems>
  <colFields count="1">
    <field x="-2"/>
  </colFields>
  <colItems count="5">
    <i>
      <x/>
    </i>
    <i i="1">
      <x v="1"/>
    </i>
    <i i="2">
      <x v="2"/>
    </i>
    <i i="3">
      <x v="3"/>
    </i>
    <i i="4">
      <x v="4"/>
    </i>
  </colItems>
  <dataFields count="5">
    <dataField name="Sum of Revenue" fld="13" baseField="0" baseItem="0"/>
    <dataField name="Sum of Profit" fld="15" baseField="0" baseItem="0"/>
    <dataField name="Sum of Sales_Target" fld="18" baseField="0" baseItem="0"/>
    <dataField name="Sum of Expenses" fld="14" baseField="0" baseItem="0"/>
    <dataField name="Sum of Quantity" fld="9" baseField="0" baseItem="0"/>
  </dataFields>
  <chartFormats count="2">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EF5926-AFD0-42B4-8454-A5BDECDB59B5}" name="PivotTable5" cacheId="1"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6" fieldListSortAscending="1">
  <location ref="B60:C66" firstHeaderRow="1" firstDataRow="1" firstDataCol="1"/>
  <pivotFields count="25">
    <pivotField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pivotField showAll="0"/>
    <pivotField axis="axisRow" showAll="0">
      <items count="6">
        <item x="0"/>
        <item x="3"/>
        <item x="4"/>
        <item x="2"/>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1"/>
        <item sd="0" x="2"/>
        <item sd="0" x="3"/>
        <item sd="0" x="4"/>
        <item x="0"/>
        <item x="5"/>
        <item t="default"/>
      </items>
    </pivotField>
    <pivotField showAll="0">
      <items count="5">
        <item sd="0" x="2"/>
        <item h="1" x="0"/>
        <item x="1"/>
        <item h="1" x="3"/>
        <item t="default"/>
      </items>
    </pivotField>
  </pivotFields>
  <rowFields count="1">
    <field x="4"/>
  </rowFields>
  <rowItems count="6">
    <i>
      <x/>
    </i>
    <i>
      <x v="1"/>
    </i>
    <i>
      <x v="2"/>
    </i>
    <i>
      <x v="3"/>
    </i>
    <i>
      <x v="4"/>
    </i>
    <i t="grand">
      <x/>
    </i>
  </rowItems>
  <colItems count="1">
    <i/>
  </colItems>
  <dataFields count="1">
    <dataField name="Sum of Revenu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DBEDF8-4A8E-42A4-BA30-9089C1296DA9}" name="PivotTable10" cacheId="1"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9" fieldListSortAscending="1">
  <location ref="B104:C107" firstHeaderRow="1" firstDataRow="1" firstDataCol="1"/>
  <pivotFields count="25">
    <pivotField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1"/>
        <item sd="0" x="2"/>
        <item sd="0" x="3"/>
        <item sd="0" x="4"/>
        <item x="0"/>
        <item x="5"/>
        <item t="default"/>
      </items>
    </pivotField>
    <pivotField showAll="0">
      <items count="5">
        <item sd="0" x="2"/>
        <item h="1" x="0"/>
        <item x="1"/>
        <item h="1" x="3"/>
        <item t="default"/>
      </items>
    </pivotField>
  </pivotFields>
  <rowFields count="1">
    <field x="7"/>
  </rowFields>
  <rowItems count="3">
    <i>
      <x/>
    </i>
    <i>
      <x v="1"/>
    </i>
    <i t="grand">
      <x/>
    </i>
  </rowItems>
  <colItems count="1">
    <i/>
  </colItems>
  <dataFields count="1">
    <dataField name="Sum of Revenue" fld="13" baseField="0" baseItem="0" numFmtId="1"/>
  </dataFields>
  <formats count="1">
    <format dxfId="2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7BD963-9167-44BC-B399-92E22D05709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7:B92" firstHeaderRow="1" firstDataRow="1" firstDataCol="1"/>
  <pivotFields count="1">
    <pivotField axis="axisRow" showAll="0">
      <items count="5">
        <item x="0"/>
        <item x="1"/>
        <item x="2"/>
        <item x="3"/>
        <item t="default"/>
      </items>
    </pivotField>
  </pivotFields>
  <rowFields count="1">
    <field x="0"/>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4EA8F3-ABFD-45BE-ACE2-9B9D94CA67E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B44:G57" firstHeaderRow="0" firstDataRow="1" firstDataCol="1"/>
  <pivotFields count="25">
    <pivotField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pivotField showAll="0"/>
    <pivotField showAll="0"/>
    <pivotField showAll="0"/>
    <pivotField showAll="0"/>
    <pivotField showAll="0"/>
    <pivotField showAll="0"/>
    <pivotField dataField="1" showAll="0"/>
    <pivotField showAll="0"/>
    <pivotField showAll="0"/>
    <pivotField showAll="0"/>
    <pivotField dataField="1" showAll="0"/>
    <pivotField dataField="1" showAll="0"/>
    <pivotField dataField="1"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x="0"/>
        <item x="5"/>
        <item t="default"/>
      </items>
    </pivotField>
    <pivotField showAll="0">
      <items count="5">
        <item sd="0" x="2"/>
        <item h="1" x="0"/>
        <item x="1"/>
        <item h="1" x="3"/>
        <item t="default"/>
      </items>
    </pivotField>
  </pivotFields>
  <rowFields count="1">
    <field x="22"/>
  </rowFields>
  <rowItems count="13">
    <i>
      <x v="1"/>
    </i>
    <i>
      <x v="2"/>
    </i>
    <i>
      <x v="3"/>
    </i>
    <i>
      <x v="4"/>
    </i>
    <i>
      <x v="5"/>
    </i>
    <i>
      <x v="6"/>
    </i>
    <i>
      <x v="7"/>
    </i>
    <i>
      <x v="8"/>
    </i>
    <i>
      <x v="9"/>
    </i>
    <i>
      <x v="10"/>
    </i>
    <i>
      <x v="11"/>
    </i>
    <i>
      <x v="12"/>
    </i>
    <i t="grand">
      <x/>
    </i>
  </rowItems>
  <colFields count="1">
    <field x="-2"/>
  </colFields>
  <colItems count="5">
    <i>
      <x/>
    </i>
    <i i="1">
      <x v="1"/>
    </i>
    <i i="2">
      <x v="2"/>
    </i>
    <i i="3">
      <x v="3"/>
    </i>
    <i i="4">
      <x v="4"/>
    </i>
  </colItems>
  <dataFields count="5">
    <dataField name="Sum of Revenue" fld="13" baseField="0" baseItem="0"/>
    <dataField name="Sum of Profit" fld="15" baseField="0" baseItem="0"/>
    <dataField name="Sum of Sales_Target" fld="18" baseField="0" baseItem="0"/>
    <dataField name="Sum of Expenses" fld="14" baseField="0" baseItem="0"/>
    <dataField name="Sum of Quantity" fld="9" baseField="0" baseItem="0"/>
  </dataFields>
  <chartFormats count="2">
    <chartFormat chart="3"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83967F-7F46-42FE-8AF7-594513B742A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4:J5" firstHeaderRow="0" firstDataRow="1" firstDataCol="0"/>
  <pivotFields count="25">
    <pivotField dataField="1"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pivotField showAll="0"/>
    <pivotField showAll="0"/>
    <pivotField showAll="0"/>
    <pivotField showAll="0"/>
    <pivotField showAll="0"/>
    <pivotField showAll="0"/>
    <pivotField dataField="1" showAll="0"/>
    <pivotField showAll="0"/>
    <pivotField dataField="1" showAll="0"/>
    <pivotField showAll="0"/>
    <pivotField dataField="1" showAll="0"/>
    <pivotField dataField="1" showAll="0"/>
    <pivotField dataField="1" showAll="0"/>
    <pivotField dataField="1" showAll="0"/>
    <pivotField dataField="1" showAll="0"/>
    <pivotField showAll="0"/>
    <pivotField showAll="0"/>
    <pivotField showAll="0"/>
    <pivotField dataField="1"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1"/>
        <item sd="0" x="2"/>
        <item sd="0" x="3"/>
        <item sd="0" x="4"/>
        <item x="0"/>
        <item x="5"/>
        <item t="default"/>
      </items>
    </pivotField>
    <pivotField showAll="0">
      <items count="5">
        <item sd="0" x="2"/>
        <item h="1" x="0"/>
        <item x="1"/>
        <item h="1" x="3"/>
        <item t="default"/>
      </items>
    </pivotField>
  </pivotFields>
  <rowItems count="1">
    <i/>
  </rowItems>
  <colFields count="1">
    <field x="-2"/>
  </colFields>
  <colItems count="9">
    <i>
      <x/>
    </i>
    <i i="1">
      <x v="1"/>
    </i>
    <i i="2">
      <x v="2"/>
    </i>
    <i i="3">
      <x v="3"/>
    </i>
    <i i="4">
      <x v="4"/>
    </i>
    <i i="5">
      <x v="5"/>
    </i>
    <i i="6">
      <x v="6"/>
    </i>
    <i i="7">
      <x v="7"/>
    </i>
    <i i="8">
      <x v="8"/>
    </i>
  </colItems>
  <dataFields count="9">
    <dataField name="Sum of Revenue" fld="13" baseField="0" baseItem="0"/>
    <dataField name="Sum of Expenses" fld="14" baseField="0" baseItem="0"/>
    <dataField name="Sum of Quantity" fld="9" baseField="0" baseItem="0" numFmtId="166"/>
    <dataField name="Sum of Profit" fld="15" baseField="0" baseItem="0"/>
    <dataField name="Count of Order_ID" fld="0" subtotal="count" baseField="0" baseItem="0"/>
    <dataField name="Average of Expense_Ratio_%" fld="17" subtotal="average" baseField="0" baseItem="4" numFmtId="9"/>
    <dataField name="Average of Profit_Margin_%" fld="16" subtotal="average" baseField="0" baseItem="5" numFmtId="9"/>
    <dataField name="Average of Return_Rate_%" fld="21" subtotal="average" baseField="0" baseItem="5" numFmtId="9"/>
    <dataField name="Average of Discount_%" fld="11" subtotal="average" baseField="0" baseItem="7" numFmtId="9"/>
  </dataFields>
  <formats count="5">
    <format dxfId="32">
      <pivotArea outline="0" collapsedLevelsAreSubtotals="1" fieldPosition="0">
        <references count="1">
          <reference field="4294967294" count="1" selected="0">
            <x v="2"/>
          </reference>
        </references>
      </pivotArea>
    </format>
    <format dxfId="31">
      <pivotArea outline="0" collapsedLevelsAreSubtotals="1" fieldPosition="0">
        <references count="1">
          <reference field="4294967294" count="1" selected="0">
            <x v="5"/>
          </reference>
        </references>
      </pivotArea>
    </format>
    <format dxfId="30">
      <pivotArea outline="0" collapsedLevelsAreSubtotals="1" fieldPosition="0">
        <references count="1">
          <reference field="4294967294" count="1" selected="0">
            <x v="6"/>
          </reference>
        </references>
      </pivotArea>
    </format>
    <format dxfId="29">
      <pivotArea outline="0" collapsedLevelsAreSubtotals="1" fieldPosition="0">
        <references count="1">
          <reference field="4294967294" count="1" selected="0">
            <x v="7"/>
          </reference>
        </references>
      </pivotArea>
    </format>
    <format dxfId="28">
      <pivotArea outline="0" collapsedLevelsAreSubtotals="1" fieldPosition="0">
        <references count="1">
          <reference field="4294967294" count="1" selected="0">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A1DC8B-6AF6-47CE-8D2E-513E18B0C5E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B8:Q23" firstHeaderRow="1" firstDataRow="3" firstDataCol="1"/>
  <pivotFields count="25">
    <pivotField dataField="1"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pivotField showAll="0"/>
    <pivotField showAll="0"/>
    <pivotField showAll="0"/>
    <pivotField showAll="0"/>
    <pivotField showAll="0"/>
    <pivotField showAll="0"/>
    <pivotField dataField="1"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1"/>
        <item sd="0" x="2"/>
        <item sd="0" x="3"/>
        <item sd="0" x="4"/>
        <item x="0"/>
        <item x="5"/>
        <item t="default"/>
      </items>
    </pivotField>
    <pivotField axis="axisCol" showAll="0">
      <items count="5">
        <item sd="0" x="2"/>
        <item x="0"/>
        <item x="1"/>
        <item x="3"/>
        <item t="default"/>
      </items>
    </pivotField>
  </pivotFields>
  <rowFields count="1">
    <field x="22"/>
  </rowFields>
  <rowItems count="13">
    <i>
      <x v="1"/>
    </i>
    <i>
      <x v="2"/>
    </i>
    <i>
      <x v="3"/>
    </i>
    <i>
      <x v="4"/>
    </i>
    <i>
      <x v="5"/>
    </i>
    <i>
      <x v="6"/>
    </i>
    <i>
      <x v="7"/>
    </i>
    <i>
      <x v="8"/>
    </i>
    <i>
      <x v="9"/>
    </i>
    <i>
      <x v="10"/>
    </i>
    <i>
      <x v="11"/>
    </i>
    <i>
      <x v="12"/>
    </i>
    <i t="grand">
      <x/>
    </i>
  </rowItems>
  <colFields count="2">
    <field x="24"/>
    <field x="-2"/>
  </colFields>
  <colItems count="15">
    <i>
      <x/>
      <x/>
    </i>
    <i r="1" i="1">
      <x v="1"/>
    </i>
    <i r="1" i="2">
      <x v="2"/>
    </i>
    <i r="1" i="3">
      <x v="3"/>
    </i>
    <i r="1" i="4">
      <x v="4"/>
    </i>
    <i>
      <x v="2"/>
      <x/>
    </i>
    <i r="1" i="1">
      <x v="1"/>
    </i>
    <i r="1" i="2">
      <x v="2"/>
    </i>
    <i r="1" i="3">
      <x v="3"/>
    </i>
    <i r="1" i="4">
      <x v="4"/>
    </i>
    <i t="grand">
      <x/>
    </i>
    <i t="grand" i="1">
      <x/>
    </i>
    <i t="grand" i="2">
      <x/>
    </i>
    <i t="grand" i="3">
      <x/>
    </i>
    <i t="grand" i="4">
      <x/>
    </i>
  </colItems>
  <dataFields count="5">
    <dataField name="Sum of Revenue" fld="13" baseField="0" baseItem="0"/>
    <dataField name="Sum of Expenses" fld="14" baseField="0" baseItem="0"/>
    <dataField name="Sum of Quantity" fld="9" baseField="0" baseItem="0"/>
    <dataField name="Sum of Profit" fld="15" baseField="0" baseItem="0"/>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8E6760-C6B0-4BB7-ADDA-D27BBC73E70C}" name="PivotTable9" cacheId="1"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9" fieldListSortAscending="1">
  <location ref="B96:E100" firstHeaderRow="1" firstDataRow="2" firstDataCol="1"/>
  <pivotFields count="25">
    <pivotField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1"/>
        <item sd="0" x="2"/>
        <item sd="0" x="3"/>
        <item sd="0" x="4"/>
        <item x="0"/>
        <item x="5"/>
        <item t="default"/>
      </items>
    </pivotField>
    <pivotField axis="axisCol" showAll="0">
      <items count="5">
        <item sd="0" x="2"/>
        <item h="1" x="0"/>
        <item x="1"/>
        <item h="1" x="3"/>
        <item t="default"/>
      </items>
    </pivotField>
  </pivotFields>
  <rowFields count="1">
    <field x="7"/>
  </rowFields>
  <rowItems count="3">
    <i>
      <x/>
    </i>
    <i>
      <x v="1"/>
    </i>
    <i t="grand">
      <x/>
    </i>
  </rowItems>
  <colFields count="1">
    <field x="24"/>
  </colFields>
  <colItems count="3">
    <i>
      <x/>
    </i>
    <i>
      <x v="2"/>
    </i>
    <i t="grand">
      <x/>
    </i>
  </colItems>
  <dataFields count="1">
    <dataField name="Sum of Revenue" fld="13" baseField="0" baseItem="0" numFmtId="1"/>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69E19D-8345-43C1-A5BF-6BE343CBD485}" name="PivotTable11" cacheId="1"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22" fieldListSortAscending="1">
  <location ref="B110:C116" firstHeaderRow="1" firstDataRow="1" firstDataCol="1"/>
  <pivotFields count="25">
    <pivotField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items count="7">
        <item x="5"/>
        <item x="4"/>
        <item x="1"/>
        <item x="3"/>
        <item x="2"/>
        <item x="0"/>
        <item t="default"/>
      </items>
    </pivotField>
    <pivotField showAll="0"/>
    <pivotField axis="axisRow" showAll="0">
      <items count="6">
        <item x="0"/>
        <item x="3"/>
        <item x="4"/>
        <item x="2"/>
        <item x="1"/>
        <item t="default"/>
      </items>
    </pivotField>
    <pivotField showAll="0"/>
    <pivotField showAll="0"/>
    <pivotField showAll="0">
      <items count="3">
        <item x="1"/>
        <item x="0"/>
        <item t="default"/>
      </items>
    </pivotField>
    <pivotField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1"/>
        <item sd="0" x="2"/>
        <item sd="0" x="3"/>
        <item sd="0" x="4"/>
        <item x="0"/>
        <item x="5"/>
        <item t="default"/>
      </items>
    </pivotField>
    <pivotField showAll="0">
      <items count="5">
        <item sd="0" x="2"/>
        <item h="1" x="0"/>
        <item x="1"/>
        <item h="1" x="3"/>
        <item t="default"/>
      </items>
    </pivotField>
  </pivotFields>
  <rowFields count="1">
    <field x="4"/>
  </rowFields>
  <rowItems count="6">
    <i>
      <x/>
    </i>
    <i>
      <x v="1"/>
    </i>
    <i>
      <x v="2"/>
    </i>
    <i>
      <x v="3"/>
    </i>
    <i>
      <x v="4"/>
    </i>
    <i t="grand">
      <x/>
    </i>
  </rowItems>
  <colItems count="1">
    <i/>
  </colItems>
  <dataFields count="1">
    <dataField name="Sum of Revenue" fld="13" baseField="0" baseItem="0"/>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924F12-5915-4188-9C48-BFF9CBE2481B}" name="PivotTable12" cacheId="1"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22" fieldListSortAscending="1">
  <location ref="B119:C122" firstHeaderRow="1" firstDataRow="1" firstDataCol="1"/>
  <pivotFields count="25">
    <pivotField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items count="7">
        <item x="5"/>
        <item x="4"/>
        <item x="1"/>
        <item x="3"/>
        <item x="2"/>
        <item x="0"/>
        <item t="default"/>
      </items>
    </pivotField>
    <pivotField showAll="0"/>
    <pivotField showAll="0">
      <items count="6">
        <item x="0"/>
        <item x="3"/>
        <item x="4"/>
        <item x="2"/>
        <item x="1"/>
        <item t="default"/>
      </items>
    </pivotField>
    <pivotField showAll="0"/>
    <pivotField showAll="0"/>
    <pivotField showAll="0">
      <items count="3">
        <item x="1"/>
        <item x="0"/>
        <item t="default"/>
      </items>
    </pivotField>
    <pivotField axis="axisRow" showAll="0">
      <items count="3">
        <item x="1"/>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1"/>
        <item sd="0" x="2"/>
        <item sd="0" x="3"/>
        <item sd="0" x="4"/>
        <item x="0"/>
        <item x="5"/>
        <item t="default"/>
      </items>
    </pivotField>
    <pivotField showAll="0">
      <items count="5">
        <item sd="0" x="2"/>
        <item h="1" x="0"/>
        <item x="1"/>
        <item h="1" x="3"/>
        <item t="default"/>
      </items>
    </pivotField>
  </pivotFields>
  <rowFields count="1">
    <field x="8"/>
  </rowFields>
  <rowItems count="3">
    <i>
      <x/>
    </i>
    <i>
      <x v="1"/>
    </i>
    <i t="grand">
      <x/>
    </i>
  </rowItems>
  <colItems count="1">
    <i/>
  </colItems>
  <dataFields count="1">
    <dataField name="Sum of Revenue" fld="13" baseField="0" baseItem="0"/>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A69D6D-A669-4479-8F2A-68D735500AF4}" name="PivotTable7" cacheId="1"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9" fieldListSortAscending="1">
  <location ref="B78:C83" firstHeaderRow="1" firstDataRow="1" firstDataCol="1"/>
  <pivotFields count="25">
    <pivotField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1"/>
        <item sd="0" x="2"/>
        <item sd="0" x="3"/>
        <item sd="0" x="4"/>
        <item x="0"/>
        <item x="5"/>
        <item t="default"/>
      </items>
    </pivotField>
    <pivotField showAll="0">
      <items count="5">
        <item sd="0" x="2"/>
        <item h="1" x="0"/>
        <item x="1"/>
        <item h="1" x="3"/>
        <item t="default"/>
      </items>
    </pivotField>
  </pivotFields>
  <rowFields count="1">
    <field x="3"/>
  </rowFields>
  <rowItems count="5">
    <i>
      <x/>
    </i>
    <i>
      <x v="1"/>
    </i>
    <i>
      <x v="2"/>
    </i>
    <i>
      <x v="3"/>
    </i>
    <i t="grand">
      <x/>
    </i>
  </rowItems>
  <colItems count="1">
    <i/>
  </colItems>
  <dataFields count="1">
    <dataField name="Sum of Revenu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D104F39-7287-44CE-AB31-EA5E2D719D02}" name="PivotTable6" cacheId="1" applyNumberFormats="0" applyBorderFormats="0" applyFontFormats="0" applyPatternFormats="0" applyAlignmentFormats="0" applyWidthHeightFormats="1" dataCaption="Values" updatedVersion="8" minRefreshableVersion="3" enableDrill="0" useAutoFormatting="1" itemPrintTitles="1" createdVersion="8" indent="0" outline="1" outlineData="1" multipleFieldFilters="0" chartFormat="8" fieldListSortAscending="1">
  <location ref="B69:C74" firstHeaderRow="1" firstDataRow="1" firstDataCol="1"/>
  <pivotFields count="25">
    <pivotField showAll="0"/>
    <pivotField showAll="0">
      <items count="374">
        <item x="185"/>
        <item x="99"/>
        <item x="257"/>
        <item x="193"/>
        <item x="315"/>
        <item x="371"/>
        <item x="26"/>
        <item x="76"/>
        <item x="361"/>
        <item x="205"/>
        <item x="69"/>
        <item x="212"/>
        <item x="33"/>
        <item x="195"/>
        <item x="71"/>
        <item x="117"/>
        <item x="235"/>
        <item x="225"/>
        <item x="165"/>
        <item x="161"/>
        <item x="214"/>
        <item x="77"/>
        <item x="366"/>
        <item x="119"/>
        <item x="243"/>
        <item x="151"/>
        <item x="207"/>
        <item x="204"/>
        <item x="19"/>
        <item x="320"/>
        <item x="50"/>
        <item x="199"/>
        <item x="20"/>
        <item x="25"/>
        <item x="116"/>
        <item x="348"/>
        <item x="74"/>
        <item x="258"/>
        <item x="66"/>
        <item x="274"/>
        <item x="167"/>
        <item x="11"/>
        <item x="353"/>
        <item x="140"/>
        <item x="241"/>
        <item x="115"/>
        <item x="247"/>
        <item x="325"/>
        <item x="250"/>
        <item x="156"/>
        <item x="263"/>
        <item x="299"/>
        <item x="150"/>
        <item x="10"/>
        <item x="91"/>
        <item x="175"/>
        <item x="210"/>
        <item x="177"/>
        <item x="215"/>
        <item x="131"/>
        <item x="178"/>
        <item x="51"/>
        <item x="218"/>
        <item x="133"/>
        <item x="337"/>
        <item x="104"/>
        <item x="283"/>
        <item x="172"/>
        <item x="139"/>
        <item x="55"/>
        <item x="188"/>
        <item x="232"/>
        <item x="67"/>
        <item x="24"/>
        <item x="238"/>
        <item x="87"/>
        <item x="216"/>
        <item x="224"/>
        <item x="298"/>
        <item x="41"/>
        <item x="317"/>
        <item x="85"/>
        <item x="155"/>
        <item x="158"/>
        <item x="323"/>
        <item x="358"/>
        <item x="339"/>
        <item x="39"/>
        <item x="80"/>
        <item x="267"/>
        <item x="15"/>
        <item x="16"/>
        <item x="114"/>
        <item x="239"/>
        <item x="173"/>
        <item x="0"/>
        <item x="1"/>
        <item x="2"/>
        <item x="3"/>
        <item x="4"/>
        <item x="5"/>
        <item x="6"/>
        <item x="7"/>
        <item x="8"/>
        <item x="9"/>
        <item x="12"/>
        <item x="13"/>
        <item x="14"/>
        <item x="17"/>
        <item x="18"/>
        <item x="21"/>
        <item x="22"/>
        <item x="23"/>
        <item x="27"/>
        <item x="28"/>
        <item x="29"/>
        <item x="30"/>
        <item x="31"/>
        <item x="32"/>
        <item x="34"/>
        <item x="35"/>
        <item x="36"/>
        <item x="37"/>
        <item x="38"/>
        <item x="40"/>
        <item x="42"/>
        <item x="43"/>
        <item x="44"/>
        <item x="45"/>
        <item x="46"/>
        <item x="47"/>
        <item x="48"/>
        <item x="49"/>
        <item x="52"/>
        <item x="53"/>
        <item x="54"/>
        <item x="56"/>
        <item x="57"/>
        <item x="58"/>
        <item x="59"/>
        <item x="60"/>
        <item x="61"/>
        <item x="62"/>
        <item x="63"/>
        <item x="64"/>
        <item x="65"/>
        <item x="68"/>
        <item x="70"/>
        <item x="72"/>
        <item x="73"/>
        <item x="75"/>
        <item x="78"/>
        <item x="79"/>
        <item x="81"/>
        <item x="82"/>
        <item x="83"/>
        <item x="84"/>
        <item x="86"/>
        <item x="88"/>
        <item x="89"/>
        <item x="90"/>
        <item x="92"/>
        <item x="93"/>
        <item x="94"/>
        <item x="95"/>
        <item x="96"/>
        <item x="97"/>
        <item x="98"/>
        <item x="100"/>
        <item x="101"/>
        <item x="102"/>
        <item x="103"/>
        <item x="105"/>
        <item x="106"/>
        <item x="107"/>
        <item x="108"/>
        <item x="109"/>
        <item x="110"/>
        <item x="111"/>
        <item x="112"/>
        <item x="113"/>
        <item x="118"/>
        <item x="120"/>
        <item x="121"/>
        <item x="122"/>
        <item x="123"/>
        <item x="124"/>
        <item x="125"/>
        <item x="126"/>
        <item x="127"/>
        <item x="128"/>
        <item x="129"/>
        <item x="130"/>
        <item x="132"/>
        <item x="134"/>
        <item x="135"/>
        <item x="136"/>
        <item x="137"/>
        <item x="138"/>
        <item x="141"/>
        <item x="142"/>
        <item x="143"/>
        <item x="144"/>
        <item x="145"/>
        <item x="146"/>
        <item x="147"/>
        <item x="148"/>
        <item x="149"/>
        <item x="152"/>
        <item x="153"/>
        <item x="154"/>
        <item x="157"/>
        <item x="159"/>
        <item x="160"/>
        <item x="162"/>
        <item x="163"/>
        <item x="164"/>
        <item x="166"/>
        <item x="168"/>
        <item x="169"/>
        <item x="170"/>
        <item x="171"/>
        <item x="174"/>
        <item x="176"/>
        <item x="179"/>
        <item x="180"/>
        <item x="181"/>
        <item x="182"/>
        <item x="183"/>
        <item x="184"/>
        <item x="186"/>
        <item x="187"/>
        <item x="189"/>
        <item x="190"/>
        <item x="191"/>
        <item x="192"/>
        <item x="194"/>
        <item x="196"/>
        <item x="197"/>
        <item x="198"/>
        <item x="200"/>
        <item x="201"/>
        <item x="202"/>
        <item x="203"/>
        <item x="206"/>
        <item x="208"/>
        <item x="209"/>
        <item x="211"/>
        <item x="213"/>
        <item x="217"/>
        <item x="219"/>
        <item x="220"/>
        <item x="221"/>
        <item x="222"/>
        <item x="223"/>
        <item x="226"/>
        <item x="227"/>
        <item x="228"/>
        <item x="229"/>
        <item x="230"/>
        <item x="231"/>
        <item x="233"/>
        <item x="234"/>
        <item x="236"/>
        <item x="237"/>
        <item x="240"/>
        <item x="242"/>
        <item x="244"/>
        <item x="245"/>
        <item x="246"/>
        <item x="248"/>
        <item x="249"/>
        <item x="251"/>
        <item x="252"/>
        <item x="253"/>
        <item x="254"/>
        <item x="255"/>
        <item x="256"/>
        <item x="259"/>
        <item x="260"/>
        <item x="261"/>
        <item x="262"/>
        <item x="264"/>
        <item x="265"/>
        <item x="266"/>
        <item x="268"/>
        <item x="269"/>
        <item x="270"/>
        <item x="271"/>
        <item x="272"/>
        <item x="273"/>
        <item x="275"/>
        <item x="276"/>
        <item x="277"/>
        <item x="278"/>
        <item x="279"/>
        <item x="280"/>
        <item x="281"/>
        <item x="282"/>
        <item x="284"/>
        <item x="285"/>
        <item x="286"/>
        <item x="287"/>
        <item x="288"/>
        <item x="289"/>
        <item x="290"/>
        <item x="291"/>
        <item x="292"/>
        <item x="293"/>
        <item x="294"/>
        <item x="295"/>
        <item x="296"/>
        <item x="297"/>
        <item x="300"/>
        <item x="301"/>
        <item x="302"/>
        <item x="303"/>
        <item x="304"/>
        <item x="305"/>
        <item x="306"/>
        <item x="307"/>
        <item x="308"/>
        <item x="309"/>
        <item x="310"/>
        <item x="311"/>
        <item x="312"/>
        <item x="313"/>
        <item x="314"/>
        <item x="316"/>
        <item x="318"/>
        <item x="319"/>
        <item x="321"/>
        <item x="322"/>
        <item x="324"/>
        <item x="326"/>
        <item x="327"/>
        <item x="328"/>
        <item x="329"/>
        <item x="330"/>
        <item x="331"/>
        <item x="332"/>
        <item x="333"/>
        <item x="334"/>
        <item x="335"/>
        <item x="336"/>
        <item x="338"/>
        <item x="340"/>
        <item x="341"/>
        <item x="342"/>
        <item x="343"/>
        <item x="344"/>
        <item x="345"/>
        <item x="346"/>
        <item x="347"/>
        <item x="349"/>
        <item x="350"/>
        <item x="351"/>
        <item x="352"/>
        <item x="354"/>
        <item x="355"/>
        <item x="356"/>
        <item x="357"/>
        <item x="359"/>
        <item x="360"/>
        <item x="362"/>
        <item x="363"/>
        <item x="364"/>
        <item x="365"/>
        <item x="367"/>
        <item x="368"/>
        <item x="369"/>
        <item x="370"/>
        <item x="372"/>
        <item t="default"/>
      </items>
    </pivotField>
    <pivotField showAll="0"/>
    <pivotField showAll="0"/>
    <pivotField showAll="0"/>
    <pivotField showAll="0"/>
    <pivotField axis="axisRow" showAll="0">
      <items count="5">
        <item x="2"/>
        <item x="0"/>
        <item x="3"/>
        <item x="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15">
        <item h="1" sd="0" x="0"/>
        <item sd="0" x="1"/>
        <item sd="0" x="2"/>
        <item sd="0" x="3"/>
        <item sd="0" x="4"/>
        <item sd="0" x="5"/>
        <item sd="0" x="6"/>
        <item sd="0" x="7"/>
        <item sd="0" x="8"/>
        <item sd="0" x="9"/>
        <item sd="0" x="10"/>
        <item sd="0" x="11"/>
        <item sd="0" x="12"/>
        <item h="1" sd="0" x="13"/>
        <item t="default"/>
      </items>
    </pivotField>
    <pivotField showAll="0">
      <items count="7">
        <item sd="0" x="1"/>
        <item sd="0" x="2"/>
        <item sd="0" x="3"/>
        <item sd="0" x="4"/>
        <item x="0"/>
        <item x="5"/>
        <item t="default"/>
      </items>
    </pivotField>
    <pivotField showAll="0">
      <items count="5">
        <item sd="0" x="2"/>
        <item h="1" x="0"/>
        <item x="1"/>
        <item h="1" x="3"/>
        <item t="default"/>
      </items>
    </pivotField>
  </pivotFields>
  <rowFields count="1">
    <field x="6"/>
  </rowFields>
  <rowItems count="5">
    <i>
      <x/>
    </i>
    <i>
      <x v="1"/>
    </i>
    <i>
      <x v="2"/>
    </i>
    <i>
      <x v="3"/>
    </i>
    <i t="grand">
      <x/>
    </i>
  </rowItems>
  <colItems count="1">
    <i/>
  </colItems>
  <dataFields count="1">
    <dataField name="Sum of Revenue"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F1124CFF-D6B0-4E47-87B9-4913267B9A50}" autoFormatId="16" applyNumberFormats="0" applyBorderFormats="0" applyFontFormats="0" applyPatternFormats="0" applyAlignmentFormats="0" applyWidthHeightFormats="0">
  <queryTableRefresh nextId="23">
    <queryTableFields count="22">
      <queryTableField id="1" name="Order_ID" tableColumnId="1"/>
      <queryTableField id="2" name="Order_Date" tableColumnId="2"/>
      <queryTableField id="3" name="City" tableColumnId="3"/>
      <queryTableField id="4" name="Region" tableColumnId="4"/>
      <queryTableField id="5" name="Category" tableColumnId="5"/>
      <queryTableField id="6" name="Sub_Category" tableColumnId="6"/>
      <queryTableField id="7" name="Department" tableColumnId="7"/>
      <queryTableField id="8" name="Customer_Type" tableColumnId="8"/>
      <queryTableField id="9" name="Order_Priority" tableColumnId="9"/>
      <queryTableField id="10" name="Quantity" tableColumnId="10"/>
      <queryTableField id="11" name="Unit_Price" tableColumnId="11"/>
      <queryTableField id="12" name="Discount_%" tableColumnId="12"/>
      <queryTableField id="13" name="Gross_Sales" tableColumnId="13"/>
      <queryTableField id="14" name="Revenue" tableColumnId="14"/>
      <queryTableField id="15" name="Expenses" tableColumnId="15"/>
      <queryTableField id="16" name="Profit" tableColumnId="16"/>
      <queryTableField id="17" name="Profit_Margin_%" tableColumnId="17"/>
      <queryTableField id="18" name="Expense_Ratio_%" tableColumnId="18"/>
      <queryTableField id="19" name="Sales_Target" tableColumnId="19"/>
      <queryTableField id="20" name="Target_Achievement_%" tableColumnId="20"/>
      <queryTableField id="21" name="Return_Qty" tableColumnId="21"/>
      <queryTableField id="22" name="Return_Rate_%"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2170CD64-E17F-46F2-9291-F632F65A313B}" sourceName="Months (Order_Date)">
  <pivotTables>
    <pivotTable tabId="2" name="PivotTable3"/>
    <pivotTable tabId="2" name="PivotTable1"/>
    <pivotTable tabId="2" name="PivotTable2"/>
    <pivotTable tabId="2" name="PivotTable5"/>
    <pivotTable tabId="2" name="PivotTable6"/>
    <pivotTable tabId="2" name="PivotTable7"/>
    <pivotTable tabId="2" name="PivotTable9"/>
    <pivotTable tabId="2" name="PivotTable10"/>
    <pivotTable tabId="2" name="PivotTable11"/>
    <pivotTable tabId="2" name="PivotTable12"/>
  </pivotTables>
  <data>
    <tabular pivotCacheId="1053675860">
      <items count="14">
        <i x="1" s="1"/>
        <i x="2" s="1"/>
        <i x="3" s="1"/>
        <i x="4" s="1"/>
        <i x="5" s="1"/>
        <i x="6" s="1"/>
        <i x="7" s="1"/>
        <i x="8" s="1"/>
        <i x="9" s="1"/>
        <i x="10" s="1"/>
        <i x="11" s="1"/>
        <i x="12" s="1"/>
        <i x="0" nd="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18431F40-343F-469E-AA7E-9BFB8061FCBD}" sourceName="Years (Order_Date)">
  <pivotTables>
    <pivotTable tabId="2" name="PivotTable1"/>
    <pivotTable tabId="2" name="PivotTable3"/>
    <pivotTable tabId="2" name="PivotTable4"/>
    <pivotTable tabId="2" name="PivotTable5"/>
    <pivotTable tabId="2" name="PivotTable6"/>
    <pivotTable tabId="2" name="PivotTable7"/>
    <pivotTable tabId="2" name="PivotTable10"/>
    <pivotTable tabId="2" name="PivotTable11"/>
    <pivotTable tabId="2" name="PivotTable12"/>
  </pivotTables>
  <data>
    <tabular pivotCacheId="1053675860">
      <items count="4">
        <i x="1" s="1"/>
        <i x="2" s="1"/>
        <i x="0" nd="1"/>
        <i x="3"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s" xr10:uid="{31AEAB57-F3FA-4069-AFD1-AF0616C8ED93}" sourceName="Sources">
  <pivotTables>
    <pivotTable tabId="2" name="PivotTable8"/>
  </pivotTables>
  <data>
    <tabular pivotCacheId="1602975481">
      <items count="4">
        <i x="0" s="1"/>
        <i x="1" s="1"/>
        <i x="2" s="1"/>
        <i x="3"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4074EAC7-6765-4BBD-935D-F598C2C47F26}" cache="Slicer_Months__Order_Date" caption="Months (Order_Date)" columnCount="12" showCaption="0" style="SlicerStyleLight1 2 2 2" rowHeight="182880"/>
  <slicer name="Years (Order_Date)" xr10:uid="{D6296152-912B-4BEB-A40D-B4BE1B037A1C}" cache="Slicer_Years__Order_Date" caption="Years (Order_Date)" columnCount="2" showCaption="0" style="SlicerStyleLight1 2 2 3"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1" xr10:uid="{184CFE95-CFD7-4327-A167-B4AB6C0BCFA7}" cache="Slicer_Months__Order_Date" caption="Months (Order_Date)" columnCount="12" showCaption="0" style="SlicerStyleLight1 2 3 2" rowHeight="182880"/>
  <slicer name="Years (Order_Date) 1" xr10:uid="{1545E7CE-6F28-4AFD-B055-5EED08AA9A8C}" cache="Slicer_Years__Order_Date" caption="Years (Order_Date)" columnCount="2" showCaption="0" style="SlicerStyleLight1 2 2 3" rowHeight="234950"/>
  <slicer name="Sources" xr10:uid="{2E44329A-C5B6-4B02-88CD-491803F20BEB}" cache="Slicer_Sources" caption="Sources" showCaption="0" style="SlicerStyleLight1 2 2 2 2" rowHeight="301752"/>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2" xr10:uid="{FE4F0564-F446-436B-9E1A-2046CAA1CCBB}" cache="Slicer_Months__Order_Date" caption="Months (Order_Date)" columnCount="12" showCaption="0" style="SlicerStyleLight1 2 2 2" rowHeight="182880"/>
  <slicer name="Years (Order_Date) 2" xr10:uid="{FD39F306-8AF8-472B-98D9-C40B5F4EEE96}" cache="Slicer_Years__Order_Date" caption="Years (Order_Date)" columnCount="2" showCaption="0" style="SlicerStyleLight1 2 2 3" rowHeight="234950"/>
  <slicer name="Sources 1" xr10:uid="{A9FF68D5-52E2-4753-B52A-C58B48EDC4BE}" cache="Slicer_Sources" caption="Sources" showCaption="0" style="SlicerStyleLight1 2 2 2 2" rowHeight="301752"/>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0FB0E0-3A24-4EE6-B377-DC95E5B0DDBF}" name="Dataset__2" displayName="Dataset__2" ref="B6:W506" tableType="queryTable" totalsRowShown="0" headerRowDxfId="26" dataDxfId="24" headerRowBorderDxfId="25" tableBorderDxfId="23" totalsRowBorderDxfId="22">
  <tableColumns count="22">
    <tableColumn id="1" xr3:uid="{E9CE1548-55B7-4B2F-ADB8-C53CC4C65B93}" uniqueName="1" name="Order_ID" queryTableFieldId="1" dataDxfId="21"/>
    <tableColumn id="2" xr3:uid="{0D402112-E782-4775-B0CA-CF216EF1F40A}" uniqueName="2" name="Order_Date" queryTableFieldId="2" dataDxfId="20"/>
    <tableColumn id="3" xr3:uid="{EE335454-FAB4-47F6-88E6-CB41F6729D0D}" uniqueName="3" name="City" queryTableFieldId="3" dataDxfId="19"/>
    <tableColumn id="4" xr3:uid="{49D46D6A-E981-4E2B-BEE5-6F48743E6A2D}" uniqueName="4" name="Region" queryTableFieldId="4" dataDxfId="18"/>
    <tableColumn id="5" xr3:uid="{D1E33830-5FDA-4475-8672-8CC8F11D71E1}" uniqueName="5" name="Category" queryTableFieldId="5" dataDxfId="17"/>
    <tableColumn id="6" xr3:uid="{8499C819-A554-4ACC-9F7F-8C021183B8EC}" uniqueName="6" name="Sub_Category" queryTableFieldId="6" dataDxfId="16"/>
    <tableColumn id="7" xr3:uid="{3319F87F-54F1-47FB-B678-99C21723A960}" uniqueName="7" name="Department" queryTableFieldId="7" dataDxfId="15"/>
    <tableColumn id="8" xr3:uid="{9FA6F0CF-15C6-4CA2-839B-659E49ACB3B2}" uniqueName="8" name="Customer_Type" queryTableFieldId="8" dataDxfId="14"/>
    <tableColumn id="9" xr3:uid="{BBA17598-1B31-433B-9F95-CCB203F19B78}" uniqueName="9" name="Order_Priority" queryTableFieldId="9" dataDxfId="13"/>
    <tableColumn id="10" xr3:uid="{A87B8357-127D-42A1-B7A9-C32CAE47AF56}" uniqueName="10" name="Quantity" queryTableFieldId="10" dataDxfId="12"/>
    <tableColumn id="11" xr3:uid="{8825427E-9F67-4AC3-AC8F-D19D7C1B6934}" uniqueName="11" name="Unit_Price" queryTableFieldId="11" dataDxfId="11"/>
    <tableColumn id="12" xr3:uid="{FE4E5BB9-10D2-475B-88C3-4531CD1A7B91}" uniqueName="12" name="Discount_%" queryTableFieldId="12" dataDxfId="10"/>
    <tableColumn id="13" xr3:uid="{490AB7A1-1EE5-439B-87E0-4EF121D8A5E6}" uniqueName="13" name="Gross_Sales" queryTableFieldId="13" dataDxfId="9"/>
    <tableColumn id="14" xr3:uid="{07B36310-8892-4A35-A108-EF54CAC30397}" uniqueName="14" name="Revenue" queryTableFieldId="14" dataDxfId="8"/>
    <tableColumn id="15" xr3:uid="{56021915-57D6-491A-8917-5A03E11D3BD0}" uniqueName="15" name="Expenses" queryTableFieldId="15" dataDxfId="7"/>
    <tableColumn id="16" xr3:uid="{4E1DBB01-8959-430D-A5CA-032D4480D887}" uniqueName="16" name="Profit" queryTableFieldId="16" dataDxfId="6"/>
    <tableColumn id="17" xr3:uid="{74128B64-DED0-4C1A-A940-E70FBCD71607}" uniqueName="17" name="Profit_Margin_%" queryTableFieldId="17" dataDxfId="5"/>
    <tableColumn id="18" xr3:uid="{EA4A8645-79BA-4A29-95B9-8D4E5A29CC15}" uniqueName="18" name="Expense_Ratio_%" queryTableFieldId="18" dataDxfId="4"/>
    <tableColumn id="19" xr3:uid="{53820364-7DBC-4E75-87F7-C2AE28CB1B6F}" uniqueName="19" name="Sales_Target" queryTableFieldId="19" dataDxfId="3"/>
    <tableColumn id="20" xr3:uid="{9C3C31CC-8C29-41B4-BAE9-A16A8EB50A8D}" uniqueName="20" name="Target_Achievement_%" queryTableFieldId="20" dataDxfId="2"/>
    <tableColumn id="21" xr3:uid="{A8780428-02B0-4324-B5A3-B1FF8A112CBF}" uniqueName="21" name="Return_Qty" queryTableFieldId="21" dataDxfId="1"/>
    <tableColumn id="22" xr3:uid="{9231D83E-4463-474B-930F-515A8033807D}" uniqueName="22" name="Return_Rate_%" queryTableFieldId="22"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BBAFC-2D73-4644-A915-CE083DF24D7E}">
  <dimension ref="B4:Q122"/>
  <sheetViews>
    <sheetView workbookViewId="0">
      <selection activeCell="B4" sqref="B4:J5"/>
    </sheetView>
  </sheetViews>
  <sheetFormatPr baseColWidth="10" defaultColWidth="8.88671875" defaultRowHeight="14.4" x14ac:dyDescent="0.3"/>
  <cols>
    <col min="2" max="2" width="12.5546875" bestFit="1" customWidth="1"/>
    <col min="3" max="3" width="14.88671875" bestFit="1" customWidth="1"/>
    <col min="4" max="4" width="7" bestFit="1" customWidth="1"/>
    <col min="5" max="5" width="10.77734375" bestFit="1" customWidth="1"/>
    <col min="6" max="6" width="12.109375" bestFit="1" customWidth="1"/>
    <col min="7" max="7" width="16.44140625" bestFit="1" customWidth="1"/>
    <col min="8" max="8" width="14.88671875" bestFit="1" customWidth="1"/>
    <col min="9" max="9" width="15.21875" bestFit="1" customWidth="1"/>
    <col min="10" max="10" width="14.88671875" bestFit="1" customWidth="1"/>
    <col min="11" max="11" width="12.109375" bestFit="1" customWidth="1"/>
    <col min="12" max="12" width="16.44140625" bestFit="1" customWidth="1"/>
    <col min="13" max="13" width="19.6640625" bestFit="1" customWidth="1"/>
    <col min="14" max="14" width="20" bestFit="1" customWidth="1"/>
    <col min="15" max="15" width="19.6640625" bestFit="1" customWidth="1"/>
    <col min="16" max="16" width="16.88671875" bestFit="1" customWidth="1"/>
    <col min="17" max="17" width="21.33203125" bestFit="1" customWidth="1"/>
  </cols>
  <sheetData>
    <row r="4" spans="2:17" x14ac:dyDescent="0.3">
      <c r="B4" t="s">
        <v>0</v>
      </c>
      <c r="C4" t="s">
        <v>4</v>
      </c>
      <c r="D4" t="s">
        <v>5</v>
      </c>
      <c r="E4" t="s">
        <v>6</v>
      </c>
      <c r="F4" t="s">
        <v>7</v>
      </c>
      <c r="G4" t="s">
        <v>91</v>
      </c>
      <c r="H4" t="s">
        <v>92</v>
      </c>
      <c r="I4" t="s">
        <v>93</v>
      </c>
      <c r="J4" t="s">
        <v>94</v>
      </c>
    </row>
    <row r="5" spans="2:17" x14ac:dyDescent="0.3">
      <c r="B5">
        <v>401664.6</v>
      </c>
      <c r="C5">
        <v>257496.80999999985</v>
      </c>
      <c r="D5" s="3">
        <v>2103</v>
      </c>
      <c r="E5">
        <v>144167.7900000001</v>
      </c>
      <c r="F5">
        <v>500</v>
      </c>
      <c r="G5" s="27">
        <v>0.64442220000000039</v>
      </c>
      <c r="H5" s="27">
        <v>0.35557820000000012</v>
      </c>
      <c r="I5" s="27">
        <v>4.7800599999999985E-2</v>
      </c>
      <c r="J5" s="27">
        <v>5.3640000000000077E-2</v>
      </c>
    </row>
    <row r="8" spans="2:17" x14ac:dyDescent="0.3">
      <c r="C8" s="1" t="s">
        <v>13</v>
      </c>
    </row>
    <row r="9" spans="2:17" x14ac:dyDescent="0.3">
      <c r="C9" t="s">
        <v>3</v>
      </c>
      <c r="H9" t="s">
        <v>32</v>
      </c>
      <c r="M9" t="s">
        <v>26</v>
      </c>
      <c r="N9" t="s">
        <v>27</v>
      </c>
      <c r="O9" t="s">
        <v>28</v>
      </c>
      <c r="P9" t="s">
        <v>29</v>
      </c>
      <c r="Q9" t="s">
        <v>30</v>
      </c>
    </row>
    <row r="10" spans="2:17" x14ac:dyDescent="0.3">
      <c r="B10" s="1" t="s">
        <v>1</v>
      </c>
      <c r="C10" t="s">
        <v>0</v>
      </c>
      <c r="D10" t="s">
        <v>4</v>
      </c>
      <c r="E10" t="s">
        <v>5</v>
      </c>
      <c r="F10" t="s">
        <v>6</v>
      </c>
      <c r="G10" t="s">
        <v>7</v>
      </c>
      <c r="H10" t="s">
        <v>0</v>
      </c>
      <c r="I10" t="s">
        <v>4</v>
      </c>
      <c r="J10" t="s">
        <v>5</v>
      </c>
      <c r="K10" t="s">
        <v>6</v>
      </c>
      <c r="L10" t="s">
        <v>7</v>
      </c>
    </row>
    <row r="11" spans="2:17" x14ac:dyDescent="0.3">
      <c r="B11" s="2" t="s">
        <v>14</v>
      </c>
      <c r="C11">
        <v>13460.4</v>
      </c>
      <c r="D11">
        <v>8422.65</v>
      </c>
      <c r="E11">
        <v>84</v>
      </c>
      <c r="F11">
        <v>5037.75</v>
      </c>
      <c r="G11">
        <v>25</v>
      </c>
      <c r="H11">
        <v>18415.75</v>
      </c>
      <c r="I11">
        <v>12809.84</v>
      </c>
      <c r="J11">
        <v>88</v>
      </c>
      <c r="K11">
        <v>5605.9100000000008</v>
      </c>
      <c r="L11">
        <v>26</v>
      </c>
      <c r="M11">
        <v>31876.15</v>
      </c>
      <c r="N11">
        <v>21232.49</v>
      </c>
      <c r="O11">
        <v>172</v>
      </c>
      <c r="P11">
        <v>10643.66</v>
      </c>
      <c r="Q11">
        <v>51</v>
      </c>
    </row>
    <row r="12" spans="2:17" x14ac:dyDescent="0.3">
      <c r="B12" s="2" t="s">
        <v>15</v>
      </c>
      <c r="C12">
        <v>21868</v>
      </c>
      <c r="D12">
        <v>12701.690000000002</v>
      </c>
      <c r="E12">
        <v>93</v>
      </c>
      <c r="F12">
        <v>9166.3099999999977</v>
      </c>
      <c r="G12">
        <v>27</v>
      </c>
      <c r="H12">
        <v>24586.799999999999</v>
      </c>
      <c r="I12">
        <v>14518.010000000004</v>
      </c>
      <c r="J12">
        <v>106</v>
      </c>
      <c r="K12">
        <v>10068.789999999999</v>
      </c>
      <c r="L12">
        <v>26</v>
      </c>
      <c r="M12">
        <v>46454.8</v>
      </c>
      <c r="N12">
        <v>27219.700000000008</v>
      </c>
      <c r="O12">
        <v>199</v>
      </c>
      <c r="P12">
        <v>19235.099999999995</v>
      </c>
      <c r="Q12">
        <v>53</v>
      </c>
    </row>
    <row r="13" spans="2:17" x14ac:dyDescent="0.3">
      <c r="B13" s="2" t="s">
        <v>16</v>
      </c>
      <c r="C13">
        <v>14333.7</v>
      </c>
      <c r="D13">
        <v>8719.5499999999993</v>
      </c>
      <c r="E13">
        <v>59</v>
      </c>
      <c r="F13">
        <v>5614.15</v>
      </c>
      <c r="G13">
        <v>19</v>
      </c>
      <c r="H13">
        <v>10873</v>
      </c>
      <c r="I13">
        <v>6755.89</v>
      </c>
      <c r="J13">
        <v>99</v>
      </c>
      <c r="K13">
        <v>4117.1099999999997</v>
      </c>
      <c r="L13">
        <v>24</v>
      </c>
      <c r="M13">
        <v>25206.7</v>
      </c>
      <c r="N13">
        <v>15475.440000000002</v>
      </c>
      <c r="O13">
        <v>158</v>
      </c>
      <c r="P13">
        <v>9731.260000000002</v>
      </c>
      <c r="Q13">
        <v>43</v>
      </c>
    </row>
    <row r="14" spans="2:17" x14ac:dyDescent="0.3">
      <c r="B14" s="2" t="s">
        <v>17</v>
      </c>
      <c r="C14">
        <v>12644.9</v>
      </c>
      <c r="D14">
        <v>7314.9899999999989</v>
      </c>
      <c r="E14">
        <v>62</v>
      </c>
      <c r="F14">
        <v>5329.91</v>
      </c>
      <c r="G14">
        <v>20</v>
      </c>
      <c r="H14">
        <v>19689.05</v>
      </c>
      <c r="I14">
        <v>10632.34</v>
      </c>
      <c r="J14">
        <v>93</v>
      </c>
      <c r="K14">
        <v>9056.7099999999973</v>
      </c>
      <c r="L14">
        <v>20</v>
      </c>
      <c r="M14">
        <v>32333.95</v>
      </c>
      <c r="N14">
        <v>17947.329999999998</v>
      </c>
      <c r="O14">
        <v>155</v>
      </c>
      <c r="P14">
        <v>14386.619999999999</v>
      </c>
      <c r="Q14">
        <v>40</v>
      </c>
    </row>
    <row r="15" spans="2:17" x14ac:dyDescent="0.3">
      <c r="B15" s="2" t="s">
        <v>18</v>
      </c>
      <c r="C15">
        <v>15540.4</v>
      </c>
      <c r="D15">
        <v>10348.080000000002</v>
      </c>
      <c r="E15">
        <v>89</v>
      </c>
      <c r="F15">
        <v>5192.32</v>
      </c>
      <c r="G15">
        <v>16</v>
      </c>
      <c r="H15">
        <v>13977.7</v>
      </c>
      <c r="I15">
        <v>9440.9499999999989</v>
      </c>
      <c r="J15">
        <v>79</v>
      </c>
      <c r="K15">
        <v>4536.75</v>
      </c>
      <c r="L15">
        <v>21</v>
      </c>
      <c r="M15">
        <v>29518.100000000002</v>
      </c>
      <c r="N15">
        <v>19789.030000000006</v>
      </c>
      <c r="O15">
        <v>168</v>
      </c>
      <c r="P15">
        <v>9729.07</v>
      </c>
      <c r="Q15">
        <v>37</v>
      </c>
    </row>
    <row r="16" spans="2:17" x14ac:dyDescent="0.3">
      <c r="B16" s="2" t="s">
        <v>19</v>
      </c>
      <c r="C16">
        <v>7325.6</v>
      </c>
      <c r="D16">
        <v>4342.1899999999996</v>
      </c>
      <c r="E16">
        <v>42</v>
      </c>
      <c r="F16">
        <v>2983.41</v>
      </c>
      <c r="G16">
        <v>11</v>
      </c>
      <c r="H16">
        <v>16213</v>
      </c>
      <c r="I16">
        <v>9461.7999999999993</v>
      </c>
      <c r="J16">
        <v>83</v>
      </c>
      <c r="K16">
        <v>6751.2</v>
      </c>
      <c r="L16">
        <v>21</v>
      </c>
      <c r="M16">
        <v>23538.6</v>
      </c>
      <c r="N16">
        <v>13803.99</v>
      </c>
      <c r="O16">
        <v>125</v>
      </c>
      <c r="P16">
        <v>9734.61</v>
      </c>
      <c r="Q16">
        <v>32</v>
      </c>
    </row>
    <row r="17" spans="2:17" x14ac:dyDescent="0.3">
      <c r="B17" s="2" t="s">
        <v>20</v>
      </c>
      <c r="C17">
        <v>25464.95</v>
      </c>
      <c r="D17">
        <v>16956.55</v>
      </c>
      <c r="E17">
        <v>101</v>
      </c>
      <c r="F17">
        <v>8508.4000000000015</v>
      </c>
      <c r="G17">
        <v>22</v>
      </c>
      <c r="H17">
        <v>17043.5</v>
      </c>
      <c r="I17">
        <v>10952.52</v>
      </c>
      <c r="J17">
        <v>94</v>
      </c>
      <c r="K17">
        <v>6090.98</v>
      </c>
      <c r="L17">
        <v>22</v>
      </c>
      <c r="M17">
        <v>42508.45</v>
      </c>
      <c r="N17">
        <v>27909.07</v>
      </c>
      <c r="O17">
        <v>195</v>
      </c>
      <c r="P17">
        <v>14599.38</v>
      </c>
      <c r="Q17">
        <v>44</v>
      </c>
    </row>
    <row r="18" spans="2:17" x14ac:dyDescent="0.3">
      <c r="B18" s="2" t="s">
        <v>21</v>
      </c>
      <c r="C18">
        <v>18369.3</v>
      </c>
      <c r="D18">
        <v>12636.02</v>
      </c>
      <c r="E18">
        <v>101</v>
      </c>
      <c r="F18">
        <v>5733.28</v>
      </c>
      <c r="G18">
        <v>19</v>
      </c>
      <c r="H18">
        <v>17356.8</v>
      </c>
      <c r="I18">
        <v>11629.960000000001</v>
      </c>
      <c r="J18">
        <v>101</v>
      </c>
      <c r="K18">
        <v>5726.8399999999992</v>
      </c>
      <c r="L18">
        <v>25</v>
      </c>
      <c r="M18">
        <v>35726.1</v>
      </c>
      <c r="N18">
        <v>24265.980000000003</v>
      </c>
      <c r="O18">
        <v>202</v>
      </c>
      <c r="P18">
        <v>11460.12</v>
      </c>
      <c r="Q18">
        <v>44</v>
      </c>
    </row>
    <row r="19" spans="2:17" x14ac:dyDescent="0.3">
      <c r="B19" s="2" t="s">
        <v>22</v>
      </c>
      <c r="C19">
        <v>15871.9</v>
      </c>
      <c r="D19">
        <v>8909.8399999999983</v>
      </c>
      <c r="E19">
        <v>82</v>
      </c>
      <c r="F19">
        <v>6962.06</v>
      </c>
      <c r="G19">
        <v>19</v>
      </c>
      <c r="H19">
        <v>9733</v>
      </c>
      <c r="I19">
        <v>5406.44</v>
      </c>
      <c r="J19">
        <v>36</v>
      </c>
      <c r="K19">
        <v>4326.5600000000004</v>
      </c>
      <c r="L19">
        <v>10</v>
      </c>
      <c r="M19">
        <v>25604.9</v>
      </c>
      <c r="N19">
        <v>14316.28</v>
      </c>
      <c r="O19">
        <v>118</v>
      </c>
      <c r="P19">
        <v>11288.619999999999</v>
      </c>
      <c r="Q19">
        <v>29</v>
      </c>
    </row>
    <row r="20" spans="2:17" x14ac:dyDescent="0.3">
      <c r="B20" s="2" t="s">
        <v>23</v>
      </c>
      <c r="C20">
        <v>12267.4</v>
      </c>
      <c r="D20">
        <v>8504.5800000000017</v>
      </c>
      <c r="E20">
        <v>115</v>
      </c>
      <c r="F20">
        <v>3762.8199999999997</v>
      </c>
      <c r="G20">
        <v>24</v>
      </c>
      <c r="H20">
        <v>10162.65</v>
      </c>
      <c r="I20">
        <v>7280.39</v>
      </c>
      <c r="J20">
        <v>85</v>
      </c>
      <c r="K20">
        <v>2882.26</v>
      </c>
      <c r="L20">
        <v>21</v>
      </c>
      <c r="M20">
        <v>22430.050000000003</v>
      </c>
      <c r="N20">
        <v>15784.970000000001</v>
      </c>
      <c r="O20">
        <v>200</v>
      </c>
      <c r="P20">
        <v>6645.08</v>
      </c>
      <c r="Q20">
        <v>45</v>
      </c>
    </row>
    <row r="21" spans="2:17" x14ac:dyDescent="0.3">
      <c r="B21" s="2" t="s">
        <v>24</v>
      </c>
      <c r="C21">
        <v>29592.400000000001</v>
      </c>
      <c r="D21">
        <v>19748</v>
      </c>
      <c r="E21">
        <v>113</v>
      </c>
      <c r="F21">
        <v>9844.4000000000033</v>
      </c>
      <c r="G21">
        <v>21</v>
      </c>
      <c r="H21">
        <v>14026.550000000001</v>
      </c>
      <c r="I21">
        <v>8692.33</v>
      </c>
      <c r="J21">
        <v>76</v>
      </c>
      <c r="K21">
        <v>5334.2199999999993</v>
      </c>
      <c r="L21">
        <v>16</v>
      </c>
      <c r="M21">
        <v>43618.95</v>
      </c>
      <c r="N21">
        <v>28440.330000000005</v>
      </c>
      <c r="O21">
        <v>189</v>
      </c>
      <c r="P21">
        <v>15178.620000000003</v>
      </c>
      <c r="Q21">
        <v>37</v>
      </c>
    </row>
    <row r="22" spans="2:17" x14ac:dyDescent="0.3">
      <c r="B22" s="2" t="s">
        <v>25</v>
      </c>
      <c r="C22">
        <v>26586.2</v>
      </c>
      <c r="D22">
        <v>19349.239999999998</v>
      </c>
      <c r="E22">
        <v>111</v>
      </c>
      <c r="F22">
        <v>7236.9599999999991</v>
      </c>
      <c r="G22">
        <v>23</v>
      </c>
      <c r="H22">
        <v>16261.65</v>
      </c>
      <c r="I22">
        <v>11962.96</v>
      </c>
      <c r="J22">
        <v>111</v>
      </c>
      <c r="K22">
        <v>4298.6900000000005</v>
      </c>
      <c r="L22">
        <v>22</v>
      </c>
      <c r="M22">
        <v>42847.85</v>
      </c>
      <c r="N22">
        <v>31312.199999999997</v>
      </c>
      <c r="O22">
        <v>222</v>
      </c>
      <c r="P22">
        <v>11535.650000000001</v>
      </c>
      <c r="Q22">
        <v>45</v>
      </c>
    </row>
    <row r="23" spans="2:17" x14ac:dyDescent="0.3">
      <c r="B23" s="2" t="s">
        <v>2</v>
      </c>
      <c r="C23">
        <v>213325.15</v>
      </c>
      <c r="D23">
        <v>137953.37999999995</v>
      </c>
      <c r="E23">
        <v>1052</v>
      </c>
      <c r="F23">
        <v>75371.770000000033</v>
      </c>
      <c r="G23">
        <v>246</v>
      </c>
      <c r="H23">
        <v>188339.45000000007</v>
      </c>
      <c r="I23">
        <v>119543.43000000005</v>
      </c>
      <c r="J23">
        <v>1051</v>
      </c>
      <c r="K23">
        <v>68796.020000000019</v>
      </c>
      <c r="L23">
        <v>254</v>
      </c>
      <c r="M23">
        <v>401664.6</v>
      </c>
      <c r="N23">
        <v>257496.81000000006</v>
      </c>
      <c r="O23">
        <v>2103</v>
      </c>
      <c r="P23">
        <v>144167.79</v>
      </c>
      <c r="Q23">
        <v>500</v>
      </c>
    </row>
    <row r="27" spans="2:17" x14ac:dyDescent="0.3">
      <c r="B27" s="1" t="s">
        <v>1</v>
      </c>
      <c r="C27" t="s">
        <v>0</v>
      </c>
      <c r="D27" t="s">
        <v>6</v>
      </c>
      <c r="E27" t="s">
        <v>67</v>
      </c>
      <c r="F27" t="s">
        <v>4</v>
      </c>
      <c r="G27" t="s">
        <v>5</v>
      </c>
    </row>
    <row r="28" spans="2:17" x14ac:dyDescent="0.3">
      <c r="B28" s="2" t="s">
        <v>14</v>
      </c>
      <c r="C28">
        <v>31876.149999999998</v>
      </c>
      <c r="D28">
        <v>10643.660000000002</v>
      </c>
      <c r="E28">
        <v>32308</v>
      </c>
      <c r="F28">
        <v>21232.489999999998</v>
      </c>
      <c r="G28">
        <v>172</v>
      </c>
    </row>
    <row r="29" spans="2:17" x14ac:dyDescent="0.3">
      <c r="B29" s="2" t="s">
        <v>15</v>
      </c>
      <c r="C29">
        <v>46454.799999999996</v>
      </c>
      <c r="D29">
        <v>19235.100000000002</v>
      </c>
      <c r="E29">
        <v>43973</v>
      </c>
      <c r="F29">
        <v>27219.700000000008</v>
      </c>
      <c r="G29">
        <v>199</v>
      </c>
    </row>
    <row r="30" spans="2:17" x14ac:dyDescent="0.3">
      <c r="B30" s="2" t="s">
        <v>16</v>
      </c>
      <c r="C30">
        <v>25206.7</v>
      </c>
      <c r="D30">
        <v>9731.260000000002</v>
      </c>
      <c r="E30">
        <v>27964</v>
      </c>
      <c r="F30">
        <v>15475.44</v>
      </c>
      <c r="G30">
        <v>158</v>
      </c>
    </row>
    <row r="31" spans="2:17" x14ac:dyDescent="0.3">
      <c r="B31" s="2" t="s">
        <v>17</v>
      </c>
      <c r="C31">
        <v>32333.949999999997</v>
      </c>
      <c r="D31">
        <v>14386.62</v>
      </c>
      <c r="E31">
        <v>31226</v>
      </c>
      <c r="F31">
        <v>17947.329999999998</v>
      </c>
      <c r="G31">
        <v>155</v>
      </c>
    </row>
    <row r="32" spans="2:17" x14ac:dyDescent="0.3">
      <c r="B32" s="2" t="s">
        <v>18</v>
      </c>
      <c r="C32">
        <v>29518.1</v>
      </c>
      <c r="D32">
        <v>9729.0699999999979</v>
      </c>
      <c r="E32">
        <v>29988</v>
      </c>
      <c r="F32">
        <v>19789.03</v>
      </c>
      <c r="G32">
        <v>168</v>
      </c>
    </row>
    <row r="33" spans="2:7" x14ac:dyDescent="0.3">
      <c r="B33" s="2" t="s">
        <v>19</v>
      </c>
      <c r="C33">
        <v>23538.600000000002</v>
      </c>
      <c r="D33">
        <v>9734.61</v>
      </c>
      <c r="E33">
        <v>22413</v>
      </c>
      <c r="F33">
        <v>13803.990000000002</v>
      </c>
      <c r="G33">
        <v>125</v>
      </c>
    </row>
    <row r="34" spans="2:7" x14ac:dyDescent="0.3">
      <c r="B34" s="2" t="s">
        <v>20</v>
      </c>
      <c r="C34">
        <v>42508.45</v>
      </c>
      <c r="D34">
        <v>14599.379999999994</v>
      </c>
      <c r="E34">
        <v>47522</v>
      </c>
      <c r="F34">
        <v>27909.069999999996</v>
      </c>
      <c r="G34">
        <v>195</v>
      </c>
    </row>
    <row r="35" spans="2:7" x14ac:dyDescent="0.3">
      <c r="B35" s="2" t="s">
        <v>21</v>
      </c>
      <c r="C35">
        <v>35726.1</v>
      </c>
      <c r="D35">
        <v>11460.12</v>
      </c>
      <c r="E35">
        <v>34529</v>
      </c>
      <c r="F35">
        <v>24265.979999999996</v>
      </c>
      <c r="G35">
        <v>202</v>
      </c>
    </row>
    <row r="36" spans="2:7" x14ac:dyDescent="0.3">
      <c r="B36" s="2" t="s">
        <v>22</v>
      </c>
      <c r="C36">
        <v>25604.899999999998</v>
      </c>
      <c r="D36">
        <v>11288.62</v>
      </c>
      <c r="E36">
        <v>29035</v>
      </c>
      <c r="F36">
        <v>14316.279999999999</v>
      </c>
      <c r="G36">
        <v>118</v>
      </c>
    </row>
    <row r="37" spans="2:7" x14ac:dyDescent="0.3">
      <c r="B37" s="2" t="s">
        <v>23</v>
      </c>
      <c r="C37">
        <v>22430.050000000003</v>
      </c>
      <c r="D37">
        <v>6645.08</v>
      </c>
      <c r="E37">
        <v>19967</v>
      </c>
      <c r="F37">
        <v>15784.970000000001</v>
      </c>
      <c r="G37">
        <v>200</v>
      </c>
    </row>
    <row r="38" spans="2:7" x14ac:dyDescent="0.3">
      <c r="B38" s="2" t="s">
        <v>24</v>
      </c>
      <c r="C38">
        <v>43618.950000000004</v>
      </c>
      <c r="D38">
        <v>15178.620000000003</v>
      </c>
      <c r="E38">
        <v>44484</v>
      </c>
      <c r="F38">
        <v>28440.330000000005</v>
      </c>
      <c r="G38">
        <v>189</v>
      </c>
    </row>
    <row r="39" spans="2:7" x14ac:dyDescent="0.3">
      <c r="B39" s="2" t="s">
        <v>25</v>
      </c>
      <c r="C39">
        <v>42847.85</v>
      </c>
      <c r="D39">
        <v>11535.65</v>
      </c>
      <c r="E39">
        <v>38871</v>
      </c>
      <c r="F39">
        <v>31312.199999999997</v>
      </c>
      <c r="G39">
        <v>222</v>
      </c>
    </row>
    <row r="40" spans="2:7" x14ac:dyDescent="0.3">
      <c r="B40" s="2" t="s">
        <v>2</v>
      </c>
      <c r="C40">
        <v>401664.6</v>
      </c>
      <c r="D40">
        <v>144167.78999999998</v>
      </c>
      <c r="E40">
        <v>402280</v>
      </c>
      <c r="F40">
        <v>257496.81000000006</v>
      </c>
      <c r="G40">
        <v>2103</v>
      </c>
    </row>
    <row r="44" spans="2:7" x14ac:dyDescent="0.3">
      <c r="B44" s="1" t="s">
        <v>1</v>
      </c>
      <c r="C44" t="s">
        <v>0</v>
      </c>
      <c r="D44" t="s">
        <v>6</v>
      </c>
      <c r="E44" t="s">
        <v>67</v>
      </c>
      <c r="F44" t="s">
        <v>4</v>
      </c>
      <c r="G44" t="s">
        <v>5</v>
      </c>
    </row>
    <row r="45" spans="2:7" x14ac:dyDescent="0.3">
      <c r="B45" s="2" t="s">
        <v>14</v>
      </c>
      <c r="C45">
        <v>31876.149999999998</v>
      </c>
      <c r="D45">
        <v>10643.660000000002</v>
      </c>
      <c r="E45">
        <v>32308</v>
      </c>
      <c r="F45">
        <v>21232.489999999998</v>
      </c>
      <c r="G45">
        <v>172</v>
      </c>
    </row>
    <row r="46" spans="2:7" x14ac:dyDescent="0.3">
      <c r="B46" s="2" t="s">
        <v>15</v>
      </c>
      <c r="C46">
        <v>46454.799999999996</v>
      </c>
      <c r="D46">
        <v>19235.100000000002</v>
      </c>
      <c r="E46">
        <v>43973</v>
      </c>
      <c r="F46">
        <v>27219.700000000008</v>
      </c>
      <c r="G46">
        <v>199</v>
      </c>
    </row>
    <row r="47" spans="2:7" x14ac:dyDescent="0.3">
      <c r="B47" s="2" t="s">
        <v>16</v>
      </c>
      <c r="C47">
        <v>25206.7</v>
      </c>
      <c r="D47">
        <v>9731.260000000002</v>
      </c>
      <c r="E47">
        <v>27964</v>
      </c>
      <c r="F47">
        <v>15475.44</v>
      </c>
      <c r="G47">
        <v>158</v>
      </c>
    </row>
    <row r="48" spans="2:7" x14ac:dyDescent="0.3">
      <c r="B48" s="2" t="s">
        <v>17</v>
      </c>
      <c r="C48">
        <v>32333.949999999997</v>
      </c>
      <c r="D48">
        <v>14386.62</v>
      </c>
      <c r="E48">
        <v>31226</v>
      </c>
      <c r="F48">
        <v>17947.329999999998</v>
      </c>
      <c r="G48">
        <v>155</v>
      </c>
    </row>
    <row r="49" spans="2:7" x14ac:dyDescent="0.3">
      <c r="B49" s="2" t="s">
        <v>18</v>
      </c>
      <c r="C49">
        <v>29518.1</v>
      </c>
      <c r="D49">
        <v>9729.0699999999979</v>
      </c>
      <c r="E49">
        <v>29988</v>
      </c>
      <c r="F49">
        <v>19789.03</v>
      </c>
      <c r="G49">
        <v>168</v>
      </c>
    </row>
    <row r="50" spans="2:7" x14ac:dyDescent="0.3">
      <c r="B50" s="2" t="s">
        <v>19</v>
      </c>
      <c r="C50">
        <v>23538.600000000002</v>
      </c>
      <c r="D50">
        <v>9734.61</v>
      </c>
      <c r="E50">
        <v>22413</v>
      </c>
      <c r="F50">
        <v>13803.990000000002</v>
      </c>
      <c r="G50">
        <v>125</v>
      </c>
    </row>
    <row r="51" spans="2:7" x14ac:dyDescent="0.3">
      <c r="B51" s="2" t="s">
        <v>20</v>
      </c>
      <c r="C51">
        <v>42508.45</v>
      </c>
      <c r="D51">
        <v>14599.379999999994</v>
      </c>
      <c r="E51">
        <v>47522</v>
      </c>
      <c r="F51">
        <v>27909.069999999996</v>
      </c>
      <c r="G51">
        <v>195</v>
      </c>
    </row>
    <row r="52" spans="2:7" x14ac:dyDescent="0.3">
      <c r="B52" s="2" t="s">
        <v>21</v>
      </c>
      <c r="C52">
        <v>35726.1</v>
      </c>
      <c r="D52">
        <v>11460.12</v>
      </c>
      <c r="E52">
        <v>34529</v>
      </c>
      <c r="F52">
        <v>24265.979999999996</v>
      </c>
      <c r="G52">
        <v>202</v>
      </c>
    </row>
    <row r="53" spans="2:7" x14ac:dyDescent="0.3">
      <c r="B53" s="2" t="s">
        <v>22</v>
      </c>
      <c r="C53">
        <v>25604.899999999998</v>
      </c>
      <c r="D53">
        <v>11288.62</v>
      </c>
      <c r="E53">
        <v>29035</v>
      </c>
      <c r="F53">
        <v>14316.279999999999</v>
      </c>
      <c r="G53">
        <v>118</v>
      </c>
    </row>
    <row r="54" spans="2:7" x14ac:dyDescent="0.3">
      <c r="B54" s="2" t="s">
        <v>23</v>
      </c>
      <c r="C54">
        <v>22430.050000000003</v>
      </c>
      <c r="D54">
        <v>6645.08</v>
      </c>
      <c r="E54">
        <v>19967</v>
      </c>
      <c r="F54">
        <v>15784.970000000001</v>
      </c>
      <c r="G54">
        <v>200</v>
      </c>
    </row>
    <row r="55" spans="2:7" x14ac:dyDescent="0.3">
      <c r="B55" s="2" t="s">
        <v>24</v>
      </c>
      <c r="C55">
        <v>43618.950000000004</v>
      </c>
      <c r="D55">
        <v>15178.620000000003</v>
      </c>
      <c r="E55">
        <v>44484</v>
      </c>
      <c r="F55">
        <v>28440.330000000005</v>
      </c>
      <c r="G55">
        <v>189</v>
      </c>
    </row>
    <row r="56" spans="2:7" x14ac:dyDescent="0.3">
      <c r="B56" s="2" t="s">
        <v>25</v>
      </c>
      <c r="C56">
        <v>42847.85</v>
      </c>
      <c r="D56">
        <v>11535.65</v>
      </c>
      <c r="E56">
        <v>38871</v>
      </c>
      <c r="F56">
        <v>31312.199999999997</v>
      </c>
      <c r="G56">
        <v>222</v>
      </c>
    </row>
    <row r="57" spans="2:7" x14ac:dyDescent="0.3">
      <c r="B57" s="2" t="s">
        <v>2</v>
      </c>
      <c r="C57">
        <v>401664.6</v>
      </c>
      <c r="D57">
        <v>144167.78999999998</v>
      </c>
      <c r="E57">
        <v>402280</v>
      </c>
      <c r="F57">
        <v>257496.81000000006</v>
      </c>
      <c r="G57">
        <v>2103</v>
      </c>
    </row>
    <row r="60" spans="2:7" x14ac:dyDescent="0.3">
      <c r="B60" s="1" t="s">
        <v>1</v>
      </c>
      <c r="C60" t="s">
        <v>0</v>
      </c>
    </row>
    <row r="61" spans="2:7" x14ac:dyDescent="0.3">
      <c r="B61" s="2" t="s">
        <v>72</v>
      </c>
      <c r="C61">
        <v>89198.9</v>
      </c>
    </row>
    <row r="62" spans="2:7" x14ac:dyDescent="0.3">
      <c r="B62" s="2" t="s">
        <v>73</v>
      </c>
      <c r="C62">
        <v>55714.75</v>
      </c>
    </row>
    <row r="63" spans="2:7" x14ac:dyDescent="0.3">
      <c r="B63" s="2" t="s">
        <v>74</v>
      </c>
      <c r="C63">
        <v>64075.950000000004</v>
      </c>
    </row>
    <row r="64" spans="2:7" x14ac:dyDescent="0.3">
      <c r="B64" s="2" t="s">
        <v>75</v>
      </c>
      <c r="C64">
        <v>88250.5</v>
      </c>
    </row>
    <row r="65" spans="2:3" x14ac:dyDescent="0.3">
      <c r="B65" s="2" t="s">
        <v>76</v>
      </c>
      <c r="C65">
        <v>104424.49999999997</v>
      </c>
    </row>
    <row r="66" spans="2:3" x14ac:dyDescent="0.3">
      <c r="B66" s="2" t="s">
        <v>2</v>
      </c>
      <c r="C66">
        <v>401664.6</v>
      </c>
    </row>
    <row r="69" spans="2:3" x14ac:dyDescent="0.3">
      <c r="B69" s="1" t="s">
        <v>1</v>
      </c>
      <c r="C69" t="s">
        <v>0</v>
      </c>
    </row>
    <row r="70" spans="2:3" x14ac:dyDescent="0.3">
      <c r="B70" s="2" t="s">
        <v>85</v>
      </c>
      <c r="C70">
        <v>79123.5</v>
      </c>
    </row>
    <row r="71" spans="2:3" x14ac:dyDescent="0.3">
      <c r="B71" s="2" t="s">
        <v>82</v>
      </c>
      <c r="C71">
        <v>85563.199999999997</v>
      </c>
    </row>
    <row r="72" spans="2:3" x14ac:dyDescent="0.3">
      <c r="B72" s="2" t="s">
        <v>79</v>
      </c>
      <c r="C72">
        <v>75437.7</v>
      </c>
    </row>
    <row r="73" spans="2:3" x14ac:dyDescent="0.3">
      <c r="B73" s="2" t="s">
        <v>84</v>
      </c>
      <c r="C73">
        <v>161540.20000000001</v>
      </c>
    </row>
    <row r="74" spans="2:3" x14ac:dyDescent="0.3">
      <c r="B74" s="2" t="s">
        <v>2</v>
      </c>
      <c r="C74">
        <v>401664.60000000003</v>
      </c>
    </row>
    <row r="78" spans="2:3" x14ac:dyDescent="0.3">
      <c r="B78" s="1" t="s">
        <v>1</v>
      </c>
      <c r="C78" t="s">
        <v>0</v>
      </c>
    </row>
    <row r="79" spans="2:3" x14ac:dyDescent="0.3">
      <c r="B79" s="2" t="s">
        <v>68</v>
      </c>
      <c r="C79">
        <v>73286.7</v>
      </c>
    </row>
    <row r="80" spans="2:3" x14ac:dyDescent="0.3">
      <c r="B80" s="2" t="s">
        <v>69</v>
      </c>
      <c r="C80">
        <v>97010.200000000012</v>
      </c>
    </row>
    <row r="81" spans="2:3" x14ac:dyDescent="0.3">
      <c r="B81" s="2" t="s">
        <v>70</v>
      </c>
      <c r="C81">
        <v>100937.25</v>
      </c>
    </row>
    <row r="82" spans="2:3" x14ac:dyDescent="0.3">
      <c r="B82" s="2" t="s">
        <v>71</v>
      </c>
      <c r="C82">
        <v>130430.45</v>
      </c>
    </row>
    <row r="83" spans="2:3" x14ac:dyDescent="0.3">
      <c r="B83" s="2" t="s">
        <v>2</v>
      </c>
      <c r="C83">
        <v>401664.60000000003</v>
      </c>
    </row>
    <row r="87" spans="2:3" x14ac:dyDescent="0.3">
      <c r="B87" s="1" t="s">
        <v>1</v>
      </c>
    </row>
    <row r="88" spans="2:3" x14ac:dyDescent="0.3">
      <c r="B88" s="2" t="s">
        <v>68</v>
      </c>
    </row>
    <row r="89" spans="2:3" x14ac:dyDescent="0.3">
      <c r="B89" s="2" t="s">
        <v>69</v>
      </c>
    </row>
    <row r="90" spans="2:3" x14ac:dyDescent="0.3">
      <c r="B90" s="2" t="s">
        <v>70</v>
      </c>
    </row>
    <row r="91" spans="2:3" x14ac:dyDescent="0.3">
      <c r="B91" s="2" t="s">
        <v>71</v>
      </c>
    </row>
    <row r="92" spans="2:3" x14ac:dyDescent="0.3">
      <c r="B92" s="2" t="s">
        <v>2</v>
      </c>
    </row>
    <row r="96" spans="2:3" x14ac:dyDescent="0.3">
      <c r="B96" s="1" t="s">
        <v>0</v>
      </c>
      <c r="C96" s="1" t="s">
        <v>13</v>
      </c>
    </row>
    <row r="97" spans="2:5" x14ac:dyDescent="0.3">
      <c r="B97" s="1" t="s">
        <v>1</v>
      </c>
      <c r="C97" t="s">
        <v>3</v>
      </c>
      <c r="D97" t="s">
        <v>32</v>
      </c>
      <c r="E97" t="s">
        <v>2</v>
      </c>
    </row>
    <row r="98" spans="2:5" x14ac:dyDescent="0.3">
      <c r="B98" s="2" t="s">
        <v>80</v>
      </c>
      <c r="C98" s="21">
        <v>73854.700000000012</v>
      </c>
      <c r="D98" s="21">
        <v>80446.150000000009</v>
      </c>
      <c r="E98" s="21">
        <v>154300.85000000003</v>
      </c>
    </row>
    <row r="99" spans="2:5" x14ac:dyDescent="0.3">
      <c r="B99" s="2" t="s">
        <v>83</v>
      </c>
      <c r="C99" s="21">
        <v>139470.44999999998</v>
      </c>
      <c r="D99" s="21">
        <v>107893.29999999999</v>
      </c>
      <c r="E99" s="21">
        <v>247363.74999999997</v>
      </c>
    </row>
    <row r="100" spans="2:5" x14ac:dyDescent="0.3">
      <c r="B100" s="2" t="s">
        <v>2</v>
      </c>
      <c r="C100" s="21">
        <v>213325.15</v>
      </c>
      <c r="D100" s="21">
        <v>188339.45</v>
      </c>
      <c r="E100" s="21">
        <v>401664.6</v>
      </c>
    </row>
    <row r="104" spans="2:5" x14ac:dyDescent="0.3">
      <c r="B104" s="1" t="s">
        <v>1</v>
      </c>
      <c r="C104" t="s">
        <v>0</v>
      </c>
    </row>
    <row r="105" spans="2:5" x14ac:dyDescent="0.3">
      <c r="B105" s="2" t="s">
        <v>80</v>
      </c>
      <c r="C105" s="21">
        <v>154300.85</v>
      </c>
    </row>
    <row r="106" spans="2:5" x14ac:dyDescent="0.3">
      <c r="B106" s="2" t="s">
        <v>83</v>
      </c>
      <c r="C106" s="21">
        <v>247363.75000000003</v>
      </c>
    </row>
    <row r="107" spans="2:5" x14ac:dyDescent="0.3">
      <c r="B107" s="2" t="s">
        <v>2</v>
      </c>
      <c r="C107" s="21">
        <v>401664.60000000003</v>
      </c>
    </row>
    <row r="110" spans="2:5" x14ac:dyDescent="0.3">
      <c r="B110" s="1" t="s">
        <v>1</v>
      </c>
      <c r="C110" t="s">
        <v>0</v>
      </c>
    </row>
    <row r="111" spans="2:5" x14ac:dyDescent="0.3">
      <c r="B111" s="2" t="s">
        <v>72</v>
      </c>
      <c r="C111" s="21">
        <v>89198.9</v>
      </c>
    </row>
    <row r="112" spans="2:5" x14ac:dyDescent="0.3">
      <c r="B112" s="2" t="s">
        <v>73</v>
      </c>
      <c r="C112" s="21">
        <v>55714.75</v>
      </c>
    </row>
    <row r="113" spans="2:3" x14ac:dyDescent="0.3">
      <c r="B113" s="2" t="s">
        <v>74</v>
      </c>
      <c r="C113" s="21">
        <v>64075.950000000004</v>
      </c>
    </row>
    <row r="114" spans="2:3" x14ac:dyDescent="0.3">
      <c r="B114" s="2" t="s">
        <v>75</v>
      </c>
      <c r="C114" s="21">
        <v>88250.5</v>
      </c>
    </row>
    <row r="115" spans="2:3" x14ac:dyDescent="0.3">
      <c r="B115" s="2" t="s">
        <v>76</v>
      </c>
      <c r="C115" s="21">
        <v>104424.49999999997</v>
      </c>
    </row>
    <row r="116" spans="2:3" x14ac:dyDescent="0.3">
      <c r="B116" s="2" t="s">
        <v>2</v>
      </c>
      <c r="C116" s="21">
        <v>401664.6</v>
      </c>
    </row>
    <row r="119" spans="2:3" x14ac:dyDescent="0.3">
      <c r="B119" s="1" t="s">
        <v>1</v>
      </c>
      <c r="C119" t="s">
        <v>0</v>
      </c>
    </row>
    <row r="120" spans="2:3" x14ac:dyDescent="0.3">
      <c r="B120" s="2" t="s">
        <v>86</v>
      </c>
      <c r="C120" s="21">
        <v>96898.1</v>
      </c>
    </row>
    <row r="121" spans="2:3" x14ac:dyDescent="0.3">
      <c r="B121" s="2" t="s">
        <v>81</v>
      </c>
      <c r="C121" s="21">
        <v>304766.50000000006</v>
      </c>
    </row>
    <row r="122" spans="2:3" x14ac:dyDescent="0.3">
      <c r="B122" s="2" t="s">
        <v>2</v>
      </c>
      <c r="C122" s="21">
        <v>401664.60000000009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7AB2E-EC7C-4DCA-A9C7-D670C9F9E7CD}">
  <dimension ref="A1:I232"/>
  <sheetViews>
    <sheetView showGridLines="0" topLeftCell="A3" zoomScale="109" workbookViewId="0">
      <selection activeCell="H14" sqref="H14"/>
    </sheetView>
  </sheetViews>
  <sheetFormatPr baseColWidth="10" defaultColWidth="8.88671875" defaultRowHeight="14.4" x14ac:dyDescent="0.3"/>
  <cols>
    <col min="1" max="1" width="24.5546875" customWidth="1"/>
    <col min="2" max="2" width="15.109375" customWidth="1"/>
    <col min="3" max="3" width="14.6640625" customWidth="1"/>
    <col min="4" max="4" width="15" customWidth="1"/>
    <col min="5" max="5" width="14.109375" customWidth="1"/>
    <col min="6" max="6" width="19.77734375" bestFit="1" customWidth="1"/>
  </cols>
  <sheetData>
    <row r="1" spans="1:7" x14ac:dyDescent="0.3">
      <c r="B1" t="s">
        <v>8</v>
      </c>
      <c r="C1" t="s">
        <v>9</v>
      </c>
      <c r="D1" t="s">
        <v>10</v>
      </c>
      <c r="E1" t="s">
        <v>11</v>
      </c>
      <c r="F1" t="s">
        <v>12</v>
      </c>
    </row>
    <row r="2" spans="1:7" x14ac:dyDescent="0.3">
      <c r="B2" s="10">
        <f>GETPIVOTDATA("Sum of Revenue",Pivot!$B$4)</f>
        <v>401664.6</v>
      </c>
      <c r="C2" s="10">
        <f>GETPIVOTDATA("Sum of Expenses",Pivot!$B$4)</f>
        <v>257496.80999999985</v>
      </c>
      <c r="D2" s="4">
        <f>GETPIVOTDATA("Sum of Quantity",Pivot!$B$4)</f>
        <v>2103</v>
      </c>
      <c r="E2" s="10">
        <f>GETPIVOTDATA("Sum of Profit",Pivot!$B$4)</f>
        <v>144167.7900000001</v>
      </c>
      <c r="F2" s="4">
        <f>B2/GETPIVOTDATA("Count of Order_ID",Pivot!$B$4)</f>
        <v>803.3291999999999</v>
      </c>
    </row>
    <row r="4" spans="1:7" x14ac:dyDescent="0.3">
      <c r="B4" t="s">
        <v>33</v>
      </c>
      <c r="C4" t="s">
        <v>36</v>
      </c>
      <c r="D4" t="s">
        <v>37</v>
      </c>
      <c r="E4" t="s">
        <v>38</v>
      </c>
    </row>
    <row r="5" spans="1:7" x14ac:dyDescent="0.3">
      <c r="B5" s="7">
        <f>GETPIVOTDATA("Sum of Revenue",Pivot!$B$8,"Years (Order_Date)",2024)</f>
        <v>188339.45000000007</v>
      </c>
      <c r="C5" s="7">
        <f>GETPIVOTDATA("Sum of Expenses",Pivot!$B$8,"Years (Order_Date)",2024)</f>
        <v>119543.43000000005</v>
      </c>
      <c r="D5" s="4">
        <f>GETPIVOTDATA("Sum of Quantity",Pivot!$B$8,"Years (Order_Date)",2024)</f>
        <v>1051</v>
      </c>
      <c r="E5" s="7">
        <f>GETPIVOTDATA("Sum of Profit",Pivot!$B$8,"Years (Order_Date)",2024)</f>
        <v>68796.020000000019</v>
      </c>
    </row>
    <row r="7" spans="1:7" x14ac:dyDescent="0.3">
      <c r="B7" t="s">
        <v>34</v>
      </c>
      <c r="C7" t="s">
        <v>35</v>
      </c>
      <c r="D7" t="s">
        <v>39</v>
      </c>
      <c r="E7" t="s">
        <v>40</v>
      </c>
      <c r="G7" t="s">
        <v>45</v>
      </c>
    </row>
    <row r="8" spans="1:7" x14ac:dyDescent="0.3">
      <c r="B8" s="7">
        <f>GETPIVOTDATA("Sum of Revenue",Pivot!$B$8,"Years (Order_Date)",2025)</f>
        <v>213325.15</v>
      </c>
      <c r="C8" s="7">
        <f>GETPIVOTDATA("Sum of Expenses",Pivot!$B$8,"Years (Order_Date)",2025)</f>
        <v>137953.37999999995</v>
      </c>
      <c r="D8" s="4">
        <f>GETPIVOTDATA("Sum of Quantity",Pivot!$B$8,"Years (Order_Date)",2025)</f>
        <v>1052</v>
      </c>
      <c r="E8" s="7">
        <f>GETPIVOTDATA("Sum of Profit",Pivot!$B$8,"Years (Order_Date)",2025)</f>
        <v>75371.770000000033</v>
      </c>
    </row>
    <row r="10" spans="1:7" x14ac:dyDescent="0.3">
      <c r="B10" t="s">
        <v>31</v>
      </c>
      <c r="C10" t="s">
        <v>31</v>
      </c>
      <c r="D10" t="s">
        <v>31</v>
      </c>
      <c r="E10" t="s">
        <v>31</v>
      </c>
    </row>
    <row r="11" spans="1:7" x14ac:dyDescent="0.3">
      <c r="B11" s="8">
        <f>(B8-B5)/B5</f>
        <v>0.13266312501178015</v>
      </c>
      <c r="C11" s="8">
        <f>(C8-C5)/C5</f>
        <v>0.15400218983176145</v>
      </c>
      <c r="D11" s="8">
        <f>(D8-D5)/D5</f>
        <v>9.5147478591817321E-4</v>
      </c>
      <c r="E11" s="8">
        <f>(E8-E5)/E5</f>
        <v>9.5583291010148744E-2</v>
      </c>
      <c r="F11" s="5"/>
    </row>
    <row r="13" spans="1:7" x14ac:dyDescent="0.3">
      <c r="A13" s="6" t="s">
        <v>41</v>
      </c>
      <c r="B13" s="9">
        <f>IF(B11&gt;0,B11,"")</f>
        <v>0.13266312501178015</v>
      </c>
      <c r="C13" s="9">
        <f>IF(C11&gt;0,C11,"")</f>
        <v>0.15400218983176145</v>
      </c>
      <c r="D13" s="9">
        <f>IF(D11&gt;0,D11,"")</f>
        <v>9.5147478591817321E-4</v>
      </c>
      <c r="E13" s="9">
        <f>IF(E11&gt;0,E11,"")</f>
        <v>9.5583291010148744E-2</v>
      </c>
    </row>
    <row r="14" spans="1:7" x14ac:dyDescent="0.3">
      <c r="A14" s="6" t="s">
        <v>42</v>
      </c>
      <c r="B14" s="9" t="str">
        <f>IF(B11&lt;0,B11,"")</f>
        <v/>
      </c>
      <c r="C14" s="9" t="str">
        <f>IF(C11&lt;0,C11,"")</f>
        <v/>
      </c>
      <c r="D14" s="9" t="str">
        <f>IF(D11&lt;0,D11,"")</f>
        <v/>
      </c>
      <c r="E14" s="9" t="str">
        <f>IF(E11&lt;0,E11,"")</f>
        <v/>
      </c>
    </row>
    <row r="16" spans="1:7" x14ac:dyDescent="0.3">
      <c r="D16" s="12">
        <f>MAX(B18:B29)*5%</f>
        <v>961.75500000000011</v>
      </c>
    </row>
    <row r="17" spans="1:4" x14ac:dyDescent="0.3">
      <c r="A17" t="s">
        <v>44</v>
      </c>
      <c r="B17" t="s">
        <v>43</v>
      </c>
      <c r="C17" t="s">
        <v>46</v>
      </c>
      <c r="D17" t="s">
        <v>47</v>
      </c>
    </row>
    <row r="18" spans="1:4" x14ac:dyDescent="0.3">
      <c r="A18" s="2" t="s">
        <v>14</v>
      </c>
      <c r="B18" s="11">
        <f>GETPIVOTDATA("Sum of Profit",Pivot!$B$44,"Months (Order_Date)",A18)</f>
        <v>10643.660000000002</v>
      </c>
      <c r="C18" s="11">
        <f>IFERROR(GETPIVOTDATA("Sum of Profit",Pivot!$B$27,"Months (Order_Date)",A18),NA())</f>
        <v>10643.660000000002</v>
      </c>
      <c r="D18" s="11">
        <f>IF(ISNUMBER(C18),$D$16,NA())</f>
        <v>961.75500000000011</v>
      </c>
    </row>
    <row r="19" spans="1:4" x14ac:dyDescent="0.3">
      <c r="A19" s="2" t="s">
        <v>15</v>
      </c>
      <c r="B19" s="11">
        <f>GETPIVOTDATA("Sum of Profit",Pivot!$B$44,"Months (Order_Date)",A19)</f>
        <v>19235.100000000002</v>
      </c>
      <c r="C19" s="11">
        <f>IFERROR(GETPIVOTDATA("Sum of Profit",Pivot!$B$27,"Months (Order_Date)",A19),NA())</f>
        <v>19235.100000000002</v>
      </c>
      <c r="D19" s="11">
        <f t="shared" ref="D19:D29" si="0">IF(ISNUMBER(C19),$D$16,NA())</f>
        <v>961.75500000000011</v>
      </c>
    </row>
    <row r="20" spans="1:4" x14ac:dyDescent="0.3">
      <c r="A20" s="2" t="s">
        <v>16</v>
      </c>
      <c r="B20" s="11">
        <f>GETPIVOTDATA("Sum of Profit",Pivot!$B$44,"Months (Order_Date)",A20)</f>
        <v>9731.260000000002</v>
      </c>
      <c r="C20" s="11">
        <f>IFERROR(GETPIVOTDATA("Sum of Profit",Pivot!$B$27,"Months (Order_Date)",A20),NA())</f>
        <v>9731.260000000002</v>
      </c>
      <c r="D20" s="11">
        <f t="shared" si="0"/>
        <v>961.75500000000011</v>
      </c>
    </row>
    <row r="21" spans="1:4" x14ac:dyDescent="0.3">
      <c r="A21" s="2" t="s">
        <v>17</v>
      </c>
      <c r="B21" s="11">
        <f>GETPIVOTDATA("Sum of Profit",Pivot!$B$44,"Months (Order_Date)",A21)</f>
        <v>14386.62</v>
      </c>
      <c r="C21" s="11">
        <f>IFERROR(GETPIVOTDATA("Sum of Profit",Pivot!$B$27,"Months (Order_Date)",A21),NA())</f>
        <v>14386.62</v>
      </c>
      <c r="D21" s="11">
        <f t="shared" si="0"/>
        <v>961.75500000000011</v>
      </c>
    </row>
    <row r="22" spans="1:4" x14ac:dyDescent="0.3">
      <c r="A22" s="2" t="s">
        <v>18</v>
      </c>
      <c r="B22" s="11">
        <f>GETPIVOTDATA("Sum of Profit",Pivot!$B$44,"Months (Order_Date)",A22)</f>
        <v>9729.0699999999979</v>
      </c>
      <c r="C22" s="11">
        <f>IFERROR(GETPIVOTDATA("Sum of Profit",Pivot!$B$27,"Months (Order_Date)",A22),NA())</f>
        <v>9729.0699999999979</v>
      </c>
      <c r="D22" s="11">
        <f t="shared" si="0"/>
        <v>961.75500000000011</v>
      </c>
    </row>
    <row r="23" spans="1:4" x14ac:dyDescent="0.3">
      <c r="A23" s="2" t="s">
        <v>19</v>
      </c>
      <c r="B23" s="11">
        <f>GETPIVOTDATA("Sum of Profit",Pivot!$B$44,"Months (Order_Date)",A23)</f>
        <v>9734.61</v>
      </c>
      <c r="C23" s="11">
        <f>IFERROR(GETPIVOTDATA("Sum of Profit",Pivot!$B$27,"Months (Order_Date)",A23),NA())</f>
        <v>9734.61</v>
      </c>
      <c r="D23" s="11">
        <f t="shared" si="0"/>
        <v>961.75500000000011</v>
      </c>
    </row>
    <row r="24" spans="1:4" x14ac:dyDescent="0.3">
      <c r="A24" s="2" t="s">
        <v>20</v>
      </c>
      <c r="B24" s="11">
        <f>GETPIVOTDATA("Sum of Profit",Pivot!$B$44,"Months (Order_Date)",A24)</f>
        <v>14599.379999999994</v>
      </c>
      <c r="C24" s="11">
        <f>IFERROR(GETPIVOTDATA("Sum of Profit",Pivot!$B$27,"Months (Order_Date)",A24),NA())</f>
        <v>14599.379999999994</v>
      </c>
      <c r="D24" s="11">
        <f t="shared" si="0"/>
        <v>961.75500000000011</v>
      </c>
    </row>
    <row r="25" spans="1:4" x14ac:dyDescent="0.3">
      <c r="A25" s="2" t="s">
        <v>21</v>
      </c>
      <c r="B25" s="11">
        <f>GETPIVOTDATA("Sum of Profit",Pivot!$B$44,"Months (Order_Date)",A25)</f>
        <v>11460.12</v>
      </c>
      <c r="C25" s="11">
        <f>IFERROR(GETPIVOTDATA("Sum of Profit",Pivot!$B$27,"Months (Order_Date)",A25),NA())</f>
        <v>11460.12</v>
      </c>
      <c r="D25" s="11">
        <f t="shared" si="0"/>
        <v>961.75500000000011</v>
      </c>
    </row>
    <row r="26" spans="1:4" x14ac:dyDescent="0.3">
      <c r="A26" s="2" t="s">
        <v>22</v>
      </c>
      <c r="B26" s="11">
        <f>GETPIVOTDATA("Sum of Profit",Pivot!$B$44,"Months (Order_Date)",A26)</f>
        <v>11288.62</v>
      </c>
      <c r="C26" s="11">
        <f>IFERROR(GETPIVOTDATA("Sum of Profit",Pivot!$B$27,"Months (Order_Date)",A26),NA())</f>
        <v>11288.62</v>
      </c>
      <c r="D26" s="11">
        <f t="shared" si="0"/>
        <v>961.75500000000011</v>
      </c>
    </row>
    <row r="27" spans="1:4" x14ac:dyDescent="0.3">
      <c r="A27" s="2" t="s">
        <v>23</v>
      </c>
      <c r="B27" s="11">
        <f>GETPIVOTDATA("Sum of Profit",Pivot!$B$44,"Months (Order_Date)",A27)</f>
        <v>6645.08</v>
      </c>
      <c r="C27" s="11">
        <f>IFERROR(GETPIVOTDATA("Sum of Profit",Pivot!$B$27,"Months (Order_Date)",A27),NA())</f>
        <v>6645.08</v>
      </c>
      <c r="D27" s="11">
        <f t="shared" si="0"/>
        <v>961.75500000000011</v>
      </c>
    </row>
    <row r="28" spans="1:4" x14ac:dyDescent="0.3">
      <c r="A28" s="2" t="s">
        <v>24</v>
      </c>
      <c r="B28" s="11">
        <f>GETPIVOTDATA("Sum of Profit",Pivot!$B$44,"Months (Order_Date)",A28)</f>
        <v>15178.620000000003</v>
      </c>
      <c r="C28" s="11">
        <f>IFERROR(GETPIVOTDATA("Sum of Profit",Pivot!$B$27,"Months (Order_Date)",A28),NA())</f>
        <v>15178.620000000003</v>
      </c>
      <c r="D28" s="11">
        <f t="shared" si="0"/>
        <v>961.75500000000011</v>
      </c>
    </row>
    <row r="29" spans="1:4" x14ac:dyDescent="0.3">
      <c r="A29" s="2" t="s">
        <v>25</v>
      </c>
      <c r="B29" s="11">
        <f>GETPIVOTDATA("Sum of Profit",Pivot!$B$44,"Months (Order_Date)",A29)</f>
        <v>11535.65</v>
      </c>
      <c r="C29" s="7">
        <f>IFERROR(GETPIVOTDATA("Sum of Profit",Pivot!$B$27,"Months (Order_Date)",A29),NA())</f>
        <v>11535.65</v>
      </c>
      <c r="D29" s="11">
        <f t="shared" si="0"/>
        <v>961.75500000000011</v>
      </c>
    </row>
    <row r="30" spans="1:4" x14ac:dyDescent="0.3">
      <c r="C30" s="39">
        <f>SUMIF(C18:C29,"&gt;0")</f>
        <v>144167.78999999998</v>
      </c>
    </row>
    <row r="32" spans="1:4" x14ac:dyDescent="0.3">
      <c r="A32" s="2" t="s">
        <v>104</v>
      </c>
      <c r="D32" t="b">
        <v>0</v>
      </c>
    </row>
    <row r="33" spans="1:9" x14ac:dyDescent="0.3">
      <c r="A33" s="13" t="s">
        <v>48</v>
      </c>
      <c r="B33" s="13" t="s">
        <v>49</v>
      </c>
      <c r="C33" s="13" t="s">
        <v>50</v>
      </c>
      <c r="D33" s="13" t="s">
        <v>51</v>
      </c>
      <c r="E33" s="13" t="s">
        <v>52</v>
      </c>
      <c r="F33" s="13" t="s">
        <v>53</v>
      </c>
      <c r="G33" s="13" t="s">
        <v>54</v>
      </c>
      <c r="H33" s="14"/>
    </row>
    <row r="34" spans="1:9" x14ac:dyDescent="0.3">
      <c r="A34" s="15" t="s">
        <v>55</v>
      </c>
      <c r="B34" s="22">
        <f>GETPIVOTDATA("Sum of Revenue",Pivot!$B$44,"Months (Order_Date)",A34)</f>
        <v>31876.149999999998</v>
      </c>
      <c r="C34" s="22">
        <f>GETPIVOTDATA("Sum of Sales_Target",Pivot!$B$44,"Months (Order_Date)",A34)</f>
        <v>32308</v>
      </c>
      <c r="D34" s="22" t="e">
        <f>IF($D$32,IFERROR(GETPIVOTDATA("Sum of Sales_Target",Pivot!$B$44,"Months (Order_Date)",A34),NA()),NA())</f>
        <v>#N/A</v>
      </c>
      <c r="E34" s="22">
        <v>-3000</v>
      </c>
      <c r="F34" s="22">
        <f>IFERROR(GETPIVOTDATA("Sum of Revenue",Pivot!$B$27,"Months (Order_Date)",A34)+MAX($B$34:$B$45)*$F$46,NA())</f>
        <v>38844.369999999995</v>
      </c>
      <c r="G34" s="22">
        <f>IFERROR(GETPIVOTDATA("Sum of Revenue",Pivot!$B$27,"Months (Order_Date)",A34),NA())</f>
        <v>31876.149999999998</v>
      </c>
      <c r="H34" s="15" t="s">
        <v>88</v>
      </c>
    </row>
    <row r="35" spans="1:9" x14ac:dyDescent="0.3">
      <c r="A35" s="15" t="s">
        <v>56</v>
      </c>
      <c r="B35" s="22">
        <f>GETPIVOTDATA("Sum of Revenue",Pivot!$B$44,"Months (Order_Date)",A35)</f>
        <v>46454.799999999996</v>
      </c>
      <c r="C35" s="22">
        <f>GETPIVOTDATA("Sum of Sales_Target",Pivot!$B$44,"Months (Order_Date)",A35)</f>
        <v>43973</v>
      </c>
      <c r="D35" s="22" t="e">
        <f>IF($D$32,IFERROR(GETPIVOTDATA("Sum of Sales_Target",Pivot!$B$44,"Months (Order_Date)",A35),NA()),NA())</f>
        <v>#N/A</v>
      </c>
      <c r="E35" s="22">
        <v>-3000</v>
      </c>
      <c r="F35" s="22">
        <f>IFERROR(GETPIVOTDATA("Sum of Revenue",Pivot!$B$27,"Months (Order_Date)",A35)+MAX($B$34:$B$45)*$F$46,NA())</f>
        <v>53423.02</v>
      </c>
      <c r="G35" s="22">
        <f>IFERROR(GETPIVOTDATA("Sum of Revenue",Pivot!$B$27,"Months (Order_Date)",A35),NA())</f>
        <v>46454.799999999996</v>
      </c>
      <c r="H35" s="23">
        <f>IF(D32,0,1)</f>
        <v>1</v>
      </c>
      <c r="I35" t="s">
        <v>89</v>
      </c>
    </row>
    <row r="36" spans="1:9" x14ac:dyDescent="0.3">
      <c r="A36" s="15" t="s">
        <v>57</v>
      </c>
      <c r="B36" s="22">
        <f>GETPIVOTDATA("Sum of Revenue",Pivot!$B$44,"Months (Order_Date)",A36)</f>
        <v>25206.7</v>
      </c>
      <c r="C36" s="22">
        <f>GETPIVOTDATA("Sum of Sales_Target",Pivot!$B$44,"Months (Order_Date)",A36)</f>
        <v>27964</v>
      </c>
      <c r="D36" s="22" t="e">
        <f>IF($D$32,IFERROR(GETPIVOTDATA("Sum of Sales_Target",Pivot!$B$44,"Months (Order_Date)",A36),NA()),NA())</f>
        <v>#N/A</v>
      </c>
      <c r="E36" s="22">
        <v>-3000</v>
      </c>
      <c r="F36" s="22">
        <f>IFERROR(GETPIVOTDATA("Sum of Revenue",Pivot!$B$27,"Months (Order_Date)",A36)+MAX($B$34:$B$45)*$F$46,NA())</f>
        <v>32174.92</v>
      </c>
      <c r="G36" s="22">
        <f>IFERROR(GETPIVOTDATA("Sum of Revenue",Pivot!$B$27,"Months (Order_Date)",A36),NA())</f>
        <v>25206.7</v>
      </c>
      <c r="H36" s="24">
        <f>IF(D32,1,0)</f>
        <v>0</v>
      </c>
    </row>
    <row r="37" spans="1:9" x14ac:dyDescent="0.3">
      <c r="A37" s="15" t="s">
        <v>58</v>
      </c>
      <c r="B37" s="22">
        <f>GETPIVOTDATA("Sum of Revenue",Pivot!$B$44,"Months (Order_Date)",A37)</f>
        <v>32333.949999999997</v>
      </c>
      <c r="C37" s="22">
        <f>GETPIVOTDATA("Sum of Sales_Target",Pivot!$B$44,"Months (Order_Date)",A37)</f>
        <v>31226</v>
      </c>
      <c r="D37" s="22" t="e">
        <f>IF($D$32,IFERROR(GETPIVOTDATA("Sum of Sales_Target",Pivot!$B$44,"Months (Order_Date)",A37),NA()),NA())</f>
        <v>#N/A</v>
      </c>
      <c r="E37" s="22">
        <v>-3000</v>
      </c>
      <c r="F37" s="22">
        <f>IFERROR(GETPIVOTDATA("Sum of Revenue",Pivot!$B$27,"Months (Order_Date)",A37)+MAX($B$34:$B$45)*$F$46,NA())</f>
        <v>39302.17</v>
      </c>
      <c r="G37" s="22">
        <f>IFERROR(GETPIVOTDATA("Sum of Revenue",Pivot!$B$27,"Months (Order_Date)",A37),NA())</f>
        <v>32333.949999999997</v>
      </c>
      <c r="H37" s="17"/>
    </row>
    <row r="38" spans="1:9" x14ac:dyDescent="0.3">
      <c r="A38" s="15" t="s">
        <v>59</v>
      </c>
      <c r="B38" s="22">
        <f>GETPIVOTDATA("Sum of Revenue",Pivot!$B$44,"Months (Order_Date)",A38)</f>
        <v>29518.1</v>
      </c>
      <c r="C38" s="22">
        <f>GETPIVOTDATA("Sum of Sales_Target",Pivot!$B$44,"Months (Order_Date)",A38)</f>
        <v>29988</v>
      </c>
      <c r="D38" s="22" t="e">
        <f>IF($D$32,IFERROR(GETPIVOTDATA("Sum of Sales_Target",Pivot!$B$44,"Months (Order_Date)",A38),NA()),NA())</f>
        <v>#N/A</v>
      </c>
      <c r="E38" s="22">
        <v>-3000</v>
      </c>
      <c r="F38" s="22">
        <f>IFERROR(GETPIVOTDATA("Sum of Revenue",Pivot!$B$27,"Months (Order_Date)",A38)+MAX($B$34:$B$45)*$F$46,NA())</f>
        <v>36486.32</v>
      </c>
      <c r="G38" s="22">
        <f>IFERROR(GETPIVOTDATA("Sum of Revenue",Pivot!$B$27,"Months (Order_Date)",A38),NA())</f>
        <v>29518.1</v>
      </c>
      <c r="H38" s="15"/>
    </row>
    <row r="39" spans="1:9" x14ac:dyDescent="0.3">
      <c r="A39" s="15" t="s">
        <v>60</v>
      </c>
      <c r="B39" s="22">
        <f>GETPIVOTDATA("Sum of Revenue",Pivot!$B$44,"Months (Order_Date)",A39)</f>
        <v>23538.600000000002</v>
      </c>
      <c r="C39" s="22">
        <f>GETPIVOTDATA("Sum of Sales_Target",Pivot!$B$44,"Months (Order_Date)",A39)</f>
        <v>22413</v>
      </c>
      <c r="D39" s="22" t="e">
        <f>IF($D$32,IFERROR(GETPIVOTDATA("Sum of Sales_Target",Pivot!$B$44,"Months (Order_Date)",A39),NA()),NA())</f>
        <v>#N/A</v>
      </c>
      <c r="E39" s="22">
        <v>-3000</v>
      </c>
      <c r="F39" s="22">
        <f>IFERROR(GETPIVOTDATA("Sum of Revenue",Pivot!$B$27,"Months (Order_Date)",A39)+MAX($B$34:$B$45)*$F$46,NA())</f>
        <v>30506.82</v>
      </c>
      <c r="G39" s="22">
        <f>IFERROR(GETPIVOTDATA("Sum of Revenue",Pivot!$B$27,"Months (Order_Date)",A39),NA())</f>
        <v>23538.600000000002</v>
      </c>
      <c r="H39" s="15"/>
    </row>
    <row r="40" spans="1:9" x14ac:dyDescent="0.3">
      <c r="A40" s="15" t="s">
        <v>61</v>
      </c>
      <c r="B40" s="22">
        <f>GETPIVOTDATA("Sum of Revenue",Pivot!$B$44,"Months (Order_Date)",A40)</f>
        <v>42508.45</v>
      </c>
      <c r="C40" s="22">
        <f>GETPIVOTDATA("Sum of Sales_Target",Pivot!$B$44,"Months (Order_Date)",A40)</f>
        <v>47522</v>
      </c>
      <c r="D40" s="22" t="e">
        <f>IF($D$32,IFERROR(GETPIVOTDATA("Sum of Sales_Target",Pivot!$B$44,"Months (Order_Date)",A40),NA()),NA())</f>
        <v>#N/A</v>
      </c>
      <c r="E40" s="22">
        <v>-3000</v>
      </c>
      <c r="F40" s="22">
        <f>IFERROR(GETPIVOTDATA("Sum of Revenue",Pivot!$B$27,"Months (Order_Date)",A40)+MAX($B$34:$B$45)*$F$46,NA())</f>
        <v>49476.67</v>
      </c>
      <c r="G40" s="22">
        <f>IFERROR(GETPIVOTDATA("Sum of Revenue",Pivot!$B$27,"Months (Order_Date)",A40),NA())</f>
        <v>42508.45</v>
      </c>
    </row>
    <row r="41" spans="1:9" x14ac:dyDescent="0.3">
      <c r="A41" s="15" t="s">
        <v>62</v>
      </c>
      <c r="B41" s="22">
        <f>GETPIVOTDATA("Sum of Revenue",Pivot!$B$44,"Months (Order_Date)",A41)</f>
        <v>35726.1</v>
      </c>
      <c r="C41" s="22">
        <f>GETPIVOTDATA("Sum of Sales_Target",Pivot!$B$44,"Months (Order_Date)",A41)</f>
        <v>34529</v>
      </c>
      <c r="D41" s="22" t="e">
        <f>IF($D$32,IFERROR(GETPIVOTDATA("Sum of Sales_Target",Pivot!$B$44,"Months (Order_Date)",A41),NA()),NA())</f>
        <v>#N/A</v>
      </c>
      <c r="E41" s="22">
        <v>-3000</v>
      </c>
      <c r="F41" s="22">
        <f>IFERROR(GETPIVOTDATA("Sum of Revenue",Pivot!$B$27,"Months (Order_Date)",A41)+MAX($B$34:$B$45)*$F$46,NA())</f>
        <v>42694.32</v>
      </c>
      <c r="G41" s="22">
        <f>IFERROR(GETPIVOTDATA("Sum of Revenue",Pivot!$B$27,"Months (Order_Date)",A41),NA())</f>
        <v>35726.1</v>
      </c>
    </row>
    <row r="42" spans="1:9" x14ac:dyDescent="0.3">
      <c r="A42" s="15" t="s">
        <v>63</v>
      </c>
      <c r="B42" s="22">
        <f>GETPIVOTDATA("Sum of Revenue",Pivot!$B$44,"Months (Order_Date)",A42)</f>
        <v>25604.899999999998</v>
      </c>
      <c r="C42" s="22">
        <f>GETPIVOTDATA("Sum of Sales_Target",Pivot!$B$44,"Months (Order_Date)",A42)</f>
        <v>29035</v>
      </c>
      <c r="D42" s="22" t="e">
        <f>IF($D$32,IFERROR(GETPIVOTDATA("Sum of Sales_Target",Pivot!$B$44,"Months (Order_Date)",A42),NA()),NA())</f>
        <v>#N/A</v>
      </c>
      <c r="E42" s="22">
        <v>-3000</v>
      </c>
      <c r="F42" s="22">
        <f>IFERROR(GETPIVOTDATA("Sum of Revenue",Pivot!$B$27,"Months (Order_Date)",A42)+MAX($B$34:$B$45)*$F$46,NA())</f>
        <v>32573.119999999995</v>
      </c>
      <c r="G42" s="22">
        <f>IFERROR(GETPIVOTDATA("Sum of Revenue",Pivot!$B$27,"Months (Order_Date)",A42),NA())</f>
        <v>25604.899999999998</v>
      </c>
    </row>
    <row r="43" spans="1:9" x14ac:dyDescent="0.3">
      <c r="A43" s="15" t="s">
        <v>64</v>
      </c>
      <c r="B43" s="22">
        <f>GETPIVOTDATA("Sum of Revenue",Pivot!$B$44,"Months (Order_Date)",A43)</f>
        <v>22430.050000000003</v>
      </c>
      <c r="C43" s="22">
        <f>GETPIVOTDATA("Sum of Sales_Target",Pivot!$B$44,"Months (Order_Date)",A43)</f>
        <v>19967</v>
      </c>
      <c r="D43" s="22" t="e">
        <f>IF($D$32,IFERROR(GETPIVOTDATA("Sum of Sales_Target",Pivot!$B$44,"Months (Order_Date)",A43),NA()),NA())</f>
        <v>#N/A</v>
      </c>
      <c r="E43" s="22">
        <v>-3000</v>
      </c>
      <c r="F43" s="22">
        <f>IFERROR(GETPIVOTDATA("Sum of Revenue",Pivot!$B$27,"Months (Order_Date)",A43)+MAX($B$34:$B$45)*$F$46,NA())</f>
        <v>29398.270000000004</v>
      </c>
      <c r="G43" s="22">
        <f>IFERROR(GETPIVOTDATA("Sum of Revenue",Pivot!$B$27,"Months (Order_Date)",A43),NA())</f>
        <v>22430.050000000003</v>
      </c>
    </row>
    <row r="44" spans="1:9" x14ac:dyDescent="0.3">
      <c r="A44" s="15" t="s">
        <v>65</v>
      </c>
      <c r="B44" s="22">
        <f>GETPIVOTDATA("Sum of Revenue",Pivot!$B$44,"Months (Order_Date)",A44)</f>
        <v>43618.950000000004</v>
      </c>
      <c r="C44" s="22">
        <f>GETPIVOTDATA("Sum of Sales_Target",Pivot!$B$44,"Months (Order_Date)",A44)</f>
        <v>44484</v>
      </c>
      <c r="D44" s="22" t="e">
        <f>IF($D$32,IFERROR(GETPIVOTDATA("Sum of Sales_Target",Pivot!$B$44,"Months (Order_Date)",A44),NA()),NA())</f>
        <v>#N/A</v>
      </c>
      <c r="E44" s="22">
        <v>-3000</v>
      </c>
      <c r="F44" s="22">
        <f>IFERROR(GETPIVOTDATA("Sum of Revenue",Pivot!$B$27,"Months (Order_Date)",A44)+MAX($B$34:$B$45)*$F$46,NA())</f>
        <v>50587.170000000006</v>
      </c>
      <c r="G44" s="22">
        <f>IFERROR(GETPIVOTDATA("Sum of Revenue",Pivot!$B$27,"Months (Order_Date)",A44),NA())</f>
        <v>43618.950000000004</v>
      </c>
    </row>
    <row r="45" spans="1:9" x14ac:dyDescent="0.3">
      <c r="A45" s="15" t="s">
        <v>66</v>
      </c>
      <c r="B45" s="22">
        <f>GETPIVOTDATA("Sum of Revenue",Pivot!$B$44,"Months (Order_Date)",A45)</f>
        <v>42847.85</v>
      </c>
      <c r="C45" s="22">
        <f>GETPIVOTDATA("Sum of Sales_Target",Pivot!$B$44,"Months (Order_Date)",A45)</f>
        <v>38871</v>
      </c>
      <c r="D45" s="22" t="e">
        <f>IF($D$32,IFERROR(GETPIVOTDATA("Sum of Sales_Target",Pivot!$B$44,"Months (Order_Date)",A45),NA()),NA())</f>
        <v>#N/A</v>
      </c>
      <c r="E45" s="22">
        <v>-3000</v>
      </c>
      <c r="F45" s="22">
        <f>IFERROR(GETPIVOTDATA("Sum of Revenue",Pivot!$B$27,"Months (Order_Date)",A45)+MAX($B$34:$B$45)*$F$46,NA())</f>
        <v>49816.07</v>
      </c>
      <c r="G45" s="22">
        <f>IFERROR(GETPIVOTDATA("Sum of Revenue",Pivot!$B$27,"Months (Order_Date)",A45),NA())</f>
        <v>42847.85</v>
      </c>
    </row>
    <row r="46" spans="1:9" x14ac:dyDescent="0.3">
      <c r="A46" s="18"/>
      <c r="B46" s="19">
        <f>GETPIVOTDATA("Sum of Revenue",Pivot!$B$27)</f>
        <v>401664.6</v>
      </c>
      <c r="C46" s="19">
        <f>GETPIVOTDATA("Sum of Sales_Target",Pivot!$B$27)</f>
        <v>402280</v>
      </c>
      <c r="E46" s="20"/>
      <c r="F46" s="20">
        <v>0.15</v>
      </c>
    </row>
    <row r="50" spans="1:3" x14ac:dyDescent="0.3">
      <c r="A50" t="s">
        <v>87</v>
      </c>
      <c r="B50" t="s">
        <v>77</v>
      </c>
    </row>
    <row r="51" spans="1:3" x14ac:dyDescent="0.3">
      <c r="A51" s="2" t="s">
        <v>72</v>
      </c>
      <c r="B51" s="19">
        <f>GETPIVOTDATA("Revenue",Pivot!$B$60,"Category",A51)</f>
        <v>89198.9</v>
      </c>
      <c r="C51" s="5">
        <f>B51/$B$56</f>
        <v>0.22207309282421203</v>
      </c>
    </row>
    <row r="52" spans="1:3" x14ac:dyDescent="0.3">
      <c r="A52" s="2" t="s">
        <v>73</v>
      </c>
      <c r="B52" s="19">
        <f>GETPIVOTDATA("Revenue",Pivot!$B$60,"Category",A52)</f>
        <v>55714.75</v>
      </c>
      <c r="C52" s="5">
        <f>B52/$B$56</f>
        <v>0.13870963485455279</v>
      </c>
    </row>
    <row r="53" spans="1:3" x14ac:dyDescent="0.3">
      <c r="A53" s="2" t="s">
        <v>74</v>
      </c>
      <c r="B53" s="19">
        <f>GETPIVOTDATA("Revenue",Pivot!$B$60,"Category",A53)</f>
        <v>64075.950000000004</v>
      </c>
      <c r="C53" s="5">
        <f>B53/$B$56</f>
        <v>0.15952600751970675</v>
      </c>
    </row>
    <row r="54" spans="1:3" x14ac:dyDescent="0.3">
      <c r="A54" s="2" t="s">
        <v>75</v>
      </c>
      <c r="B54" s="19">
        <f>GETPIVOTDATA("Revenue",Pivot!$B$60,"Category",A54)</f>
        <v>88250.5</v>
      </c>
      <c r="C54" s="5">
        <f>B54/$B$56</f>
        <v>0.21971191884970695</v>
      </c>
    </row>
    <row r="55" spans="1:3" x14ac:dyDescent="0.3">
      <c r="A55" s="2" t="s">
        <v>76</v>
      </c>
      <c r="B55" s="19">
        <f>GETPIVOTDATA("Revenue",Pivot!$B$60,"Category",A55)</f>
        <v>104424.49999999997</v>
      </c>
      <c r="C55" s="5">
        <f>B55/$B$56</f>
        <v>0.25997934595182143</v>
      </c>
    </row>
    <row r="56" spans="1:3" x14ac:dyDescent="0.3">
      <c r="B56" s="37">
        <f>SUM(B51:B55)</f>
        <v>401664.6</v>
      </c>
    </row>
    <row r="59" spans="1:3" x14ac:dyDescent="0.3">
      <c r="A59" t="s">
        <v>90</v>
      </c>
    </row>
    <row r="60" spans="1:3" x14ac:dyDescent="0.3">
      <c r="A60" s="2" t="s">
        <v>85</v>
      </c>
      <c r="B60" s="25">
        <f>GETPIVOTDATA("Revenue",Pivot!$B$69,"Department",A60)</f>
        <v>79123.5</v>
      </c>
      <c r="C60" s="5">
        <f>B60/$B$64</f>
        <v>0.19698898035823917</v>
      </c>
    </row>
    <row r="61" spans="1:3" x14ac:dyDescent="0.3">
      <c r="A61" s="2" t="s">
        <v>82</v>
      </c>
      <c r="B61" s="25">
        <f>GETPIVOTDATA("Revenue",Pivot!$B$69,"Department",A61)</f>
        <v>85563.199999999997</v>
      </c>
      <c r="C61" s="5">
        <f>B61/$B$64</f>
        <v>0.21302151098204819</v>
      </c>
    </row>
    <row r="62" spans="1:3" x14ac:dyDescent="0.3">
      <c r="A62" s="2" t="s">
        <v>79</v>
      </c>
      <c r="B62" s="25">
        <f>GETPIVOTDATA("Revenue",Pivot!$B$69,"Department",A62)</f>
        <v>75437.7</v>
      </c>
      <c r="C62" s="5">
        <f>B62/$B$64</f>
        <v>0.18781266758384979</v>
      </c>
    </row>
    <row r="63" spans="1:3" x14ac:dyDescent="0.3">
      <c r="A63" s="2" t="s">
        <v>84</v>
      </c>
      <c r="B63" s="25">
        <f>GETPIVOTDATA("Revenue",Pivot!$B$69,"Department",A63)</f>
        <v>161540.20000000001</v>
      </c>
      <c r="C63" s="5">
        <f>B63/$B$64</f>
        <v>0.40217684107586277</v>
      </c>
    </row>
    <row r="64" spans="1:3" x14ac:dyDescent="0.3">
      <c r="B64" s="28">
        <f>SUM(B60:B63)</f>
        <v>401664.60000000003</v>
      </c>
      <c r="C64" s="26">
        <f>SUM(B60:B63)</f>
        <v>401664.60000000003</v>
      </c>
    </row>
    <row r="66" spans="1:7" x14ac:dyDescent="0.3">
      <c r="A66" s="2" t="s">
        <v>95</v>
      </c>
      <c r="C66" s="30" t="s">
        <v>96</v>
      </c>
      <c r="D66" s="30" t="s">
        <v>97</v>
      </c>
    </row>
    <row r="67" spans="1:7" x14ac:dyDescent="0.3">
      <c r="A67" s="27">
        <f>1-B67</f>
        <v>0.35557779999999961</v>
      </c>
      <c r="B67" s="5">
        <f>GETPIVOTDATA("Average of Expense_Ratio_%",Pivot!$B$4)</f>
        <v>0.64442220000000039</v>
      </c>
      <c r="C67" s="31">
        <f>SIN(A68*2*PI())</f>
        <v>0.374477001009899</v>
      </c>
      <c r="D67" s="31">
        <f>COS(B68*2*PI())</f>
        <v>-0.92723620276315355</v>
      </c>
    </row>
    <row r="68" spans="1:7" x14ac:dyDescent="0.3">
      <c r="A68" s="5">
        <f>A67+100%/12</f>
        <v>0.43891113333333293</v>
      </c>
      <c r="B68" s="29">
        <f>100%-A68</f>
        <v>0.56108886666666713</v>
      </c>
      <c r="C68" s="32">
        <v>0.5</v>
      </c>
      <c r="D68" s="32">
        <v>0.86599999999999999</v>
      </c>
    </row>
    <row r="70" spans="1:7" x14ac:dyDescent="0.3">
      <c r="A70" t="s">
        <v>98</v>
      </c>
      <c r="C70" s="30" t="s">
        <v>96</v>
      </c>
      <c r="D70" s="30" t="s">
        <v>97</v>
      </c>
    </row>
    <row r="71" spans="1:7" x14ac:dyDescent="0.3">
      <c r="A71" s="5">
        <f>1-B71</f>
        <v>0.64442179999999993</v>
      </c>
      <c r="B71" s="5">
        <f>GETPIVOTDATA("Average of Profit_Margin_%",Pivot!$B$4)</f>
        <v>0.35557820000000012</v>
      </c>
      <c r="C71" s="31">
        <f>SIN(A72*2*PI())</f>
        <v>-0.99024825727532984</v>
      </c>
      <c r="D71" s="31">
        <f>COS(B72*2*PI())</f>
        <v>-0.13931399413975631</v>
      </c>
    </row>
    <row r="72" spans="1:7" x14ac:dyDescent="0.3">
      <c r="A72" s="5">
        <f>A71+100%/12</f>
        <v>0.7277551333333333</v>
      </c>
      <c r="B72" s="29">
        <f>100%-A72</f>
        <v>0.2722448666666667</v>
      </c>
      <c r="C72" s="32">
        <v>0.5</v>
      </c>
      <c r="D72" s="32">
        <v>0.86599999999999999</v>
      </c>
    </row>
    <row r="75" spans="1:7" ht="15" thickBot="1" x14ac:dyDescent="0.35"/>
    <row r="76" spans="1:7" ht="15" thickBot="1" x14ac:dyDescent="0.35">
      <c r="A76" s="34" t="s">
        <v>102</v>
      </c>
      <c r="B76" s="35" t="s">
        <v>99</v>
      </c>
      <c r="D76" t="s">
        <v>100</v>
      </c>
      <c r="F76" t="s">
        <v>77</v>
      </c>
      <c r="G76" t="s">
        <v>105</v>
      </c>
    </row>
    <row r="77" spans="1:7" x14ac:dyDescent="0.3">
      <c r="A77" s="2" t="s">
        <v>68</v>
      </c>
      <c r="B77" s="25">
        <f>GETPIVOTDATA("Revenue",Pivot!$B$78,"Region",A77)</f>
        <v>73286.7</v>
      </c>
      <c r="C77" s="5">
        <f>B77/$B$81</f>
        <v>0.18245745330805849</v>
      </c>
      <c r="D77" s="2" t="s">
        <v>68</v>
      </c>
      <c r="E77" s="36">
        <f>IF(ISNUMBER(MATCH(A77,Pivot!$B$88:$B$91,0)),C77,"")</f>
        <v>0.18245745330805849</v>
      </c>
      <c r="F77" s="25">
        <f>IF(ISNUMBER(MATCH(A77,Pivot!$B$88:$B$91,0)),B77,"")</f>
        <v>73286.7</v>
      </c>
      <c r="G77" s="5">
        <f>IF(ISNUMBER(MATCH(A77,Pivot!$B$88:$B$91,0)),C77,"")</f>
        <v>0.18245745330805849</v>
      </c>
    </row>
    <row r="78" spans="1:7" x14ac:dyDescent="0.3">
      <c r="A78" s="2" t="s">
        <v>69</v>
      </c>
      <c r="B78" s="25">
        <f>GETPIVOTDATA("Revenue",Pivot!$B$78,"Region",A78)</f>
        <v>97010.200000000012</v>
      </c>
      <c r="C78" s="5">
        <f>B78/$B$81</f>
        <v>0.24152041280212397</v>
      </c>
      <c r="E78" s="36" t="e">
        <f>IF(ISNUMBER(MATCH(A77,Pivot!$B$88:$B$91,0)),NA(),C77)</f>
        <v>#N/A</v>
      </c>
      <c r="F78" s="25">
        <f>IF(ISNUMBER(MATCH(A78,Pivot!$B$88:$B$91,0)),B78,"")</f>
        <v>97010.200000000012</v>
      </c>
      <c r="G78" s="5">
        <f>IF(ISNUMBER(MATCH(A78,Pivot!$B$88:$B$91,0)),C78,"")</f>
        <v>0.24152041280212397</v>
      </c>
    </row>
    <row r="79" spans="1:7" x14ac:dyDescent="0.3">
      <c r="A79" s="2" t="s">
        <v>70</v>
      </c>
      <c r="B79" s="25">
        <f>GETPIVOTDATA("Revenue",Pivot!$B$78,"Region",A79)</f>
        <v>100937.25</v>
      </c>
      <c r="C79" s="5">
        <f>B79/$B$81</f>
        <v>0.25129735107350759</v>
      </c>
      <c r="E79" s="36">
        <f>$B$83</f>
        <v>3.5000000000000003E-2</v>
      </c>
      <c r="F79" s="25">
        <f>IF(ISNUMBER(MATCH(A79,Pivot!$B$88:$B$91,0)),B79,"")</f>
        <v>100937.25</v>
      </c>
      <c r="G79" s="5">
        <f>IF(ISNUMBER(MATCH(A79,Pivot!$B$88:$B$91,0)),C79,"")</f>
        <v>0.25129735107350759</v>
      </c>
    </row>
    <row r="80" spans="1:7" x14ac:dyDescent="0.3">
      <c r="A80" s="2" t="s">
        <v>71</v>
      </c>
      <c r="B80" s="25">
        <f>GETPIVOTDATA("Revenue",Pivot!$B$78,"Region",A80)</f>
        <v>130430.45</v>
      </c>
      <c r="C80" s="5">
        <f>B80/$B$81</f>
        <v>0.3247247828163099</v>
      </c>
      <c r="D80" s="2" t="s">
        <v>69</v>
      </c>
      <c r="E80" s="36">
        <f>IF(ISNUMBER(MATCH(A78,Pivot!$B$88:$B$91,0)),C78,"")</f>
        <v>0.24152041280212397</v>
      </c>
      <c r="F80" s="25">
        <f>IF(ISNUMBER(MATCH(A80,Pivot!$B$88:$B$91,0)),B80,"")</f>
        <v>130430.45</v>
      </c>
      <c r="G80" s="5">
        <f>IF(ISNUMBER(MATCH(A80,Pivot!$B$88:$B$91,0)),C80,"")</f>
        <v>0.3247247828163099</v>
      </c>
    </row>
    <row r="81" spans="1:5" x14ac:dyDescent="0.3">
      <c r="B81" s="14">
        <f>SUM(B77:B80)</f>
        <v>401664.60000000003</v>
      </c>
      <c r="E81" s="36" t="e">
        <f>IF(ISNUMBER(MATCH(A78,Pivot!$B$88:$B$91,0)),NA(),C78)</f>
        <v>#N/A</v>
      </c>
    </row>
    <row r="82" spans="1:5" x14ac:dyDescent="0.3">
      <c r="E82" s="36">
        <f>$B$83</f>
        <v>3.5000000000000003E-2</v>
      </c>
    </row>
    <row r="83" spans="1:5" x14ac:dyDescent="0.3">
      <c r="A83" s="2" t="s">
        <v>101</v>
      </c>
      <c r="B83" s="33">
        <v>3.5000000000000003E-2</v>
      </c>
      <c r="D83" s="2" t="s">
        <v>70</v>
      </c>
      <c r="E83" s="36">
        <f>IF(ISNUMBER(MATCH(A79,Pivot!$B$88:$B$91,0)),C79,"")</f>
        <v>0.25129735107350759</v>
      </c>
    </row>
    <row r="84" spans="1:5" x14ac:dyDescent="0.3">
      <c r="E84" s="36" t="e">
        <f>IF(ISNUMBER(MATCH(A79,Pivot!$B$88:$B$91,0)),NA(),C79)</f>
        <v>#N/A</v>
      </c>
    </row>
    <row r="85" spans="1:5" x14ac:dyDescent="0.3">
      <c r="E85" s="36">
        <f>$B$83</f>
        <v>3.5000000000000003E-2</v>
      </c>
    </row>
    <row r="86" spans="1:5" x14ac:dyDescent="0.3">
      <c r="D86" s="2" t="s">
        <v>71</v>
      </c>
      <c r="E86" s="36">
        <f>IF(ISNUMBER(MATCH(A80,Pivot!$B$88:$B$91,0)),C80,"")</f>
        <v>0.3247247828163099</v>
      </c>
    </row>
    <row r="87" spans="1:5" x14ac:dyDescent="0.3">
      <c r="E87" s="36" t="e">
        <f>IF(ISNUMBER(MATCH(A80,Pivot!$B$88:$B$91,0)),NA(),C80)</f>
        <v>#N/A</v>
      </c>
    </row>
    <row r="88" spans="1:5" x14ac:dyDescent="0.3">
      <c r="E88" s="16">
        <f>B83</f>
        <v>3.5000000000000003E-2</v>
      </c>
    </row>
    <row r="92" spans="1:5" x14ac:dyDescent="0.3">
      <c r="A92" t="s">
        <v>103</v>
      </c>
      <c r="C92">
        <v>2024</v>
      </c>
      <c r="D92">
        <v>2025</v>
      </c>
    </row>
    <row r="93" spans="1:5" x14ac:dyDescent="0.3">
      <c r="A93" s="2" t="s">
        <v>80</v>
      </c>
      <c r="B93" s="25">
        <f>GETPIVOTDATA("Revenue",Pivot!$B$104,"Customer_Type",A93)</f>
        <v>154300.85</v>
      </c>
      <c r="C93" s="25">
        <f>GETPIVOTDATA("Revenue",Pivot!$B$96,"Years (Order_Date)",C92)</f>
        <v>188339.45</v>
      </c>
      <c r="D93" s="25">
        <f>GETPIVOTDATA("Revenue",Pivot!$B$96,"Years (Order_Date)",D92)</f>
        <v>213325.15</v>
      </c>
    </row>
    <row r="94" spans="1:5" x14ac:dyDescent="0.3">
      <c r="A94" s="2" t="s">
        <v>83</v>
      </c>
      <c r="B94" s="25">
        <f>GETPIVOTDATA("Revenue",Pivot!$B$104,"Customer_Type",A94)</f>
        <v>247363.75000000003</v>
      </c>
      <c r="C94" t="s">
        <v>31</v>
      </c>
      <c r="D94" s="38">
        <f>(D93-C93)/C93</f>
        <v>0.13266312501178049</v>
      </c>
    </row>
    <row r="96" spans="1:5" x14ac:dyDescent="0.3">
      <c r="C96" t="s">
        <v>41</v>
      </c>
      <c r="D96" s="38">
        <f>IF(D94&gt;0,D94,"")</f>
        <v>0.13266312501178049</v>
      </c>
    </row>
    <row r="97" spans="1:5" x14ac:dyDescent="0.3">
      <c r="C97" t="s">
        <v>42</v>
      </c>
      <c r="D97" s="38" t="str">
        <f>IF(D94&lt;0,D94,"")</f>
        <v/>
      </c>
    </row>
    <row r="100" spans="1:5" x14ac:dyDescent="0.3">
      <c r="A100" t="s">
        <v>106</v>
      </c>
      <c r="B100" t="s">
        <v>77</v>
      </c>
      <c r="C100" t="s">
        <v>78</v>
      </c>
      <c r="D100" t="s">
        <v>107</v>
      </c>
      <c r="E100" t="s">
        <v>108</v>
      </c>
    </row>
    <row r="101" spans="1:5" x14ac:dyDescent="0.3">
      <c r="A101" s="2" t="s">
        <v>14</v>
      </c>
      <c r="B101" s="25">
        <f>GETPIVOTDATA("Sum of Revenue",Pivot!$B$44,"Months (Order_Date)",A101)</f>
        <v>31876.149999999998</v>
      </c>
      <c r="C101" s="25">
        <f>GETPIVOTDATA("Sum of Expenses",Pivot!$B$44,"Months (Order_Date)",A101)</f>
        <v>21232.489999999998</v>
      </c>
      <c r="D101" s="25">
        <f>IFERROR(GETPIVOTDATA("Sum of Revenue",Pivot!$B$27,"Months (Order_Date)",A101),NA())</f>
        <v>31876.149999999998</v>
      </c>
      <c r="E101" s="25">
        <f>IFERROR(GETPIVOTDATA("Sum of Expenses",Pivot!$B$27,"Months (Order_Date)",A101),NA())</f>
        <v>21232.489999999998</v>
      </c>
    </row>
    <row r="102" spans="1:5" x14ac:dyDescent="0.3">
      <c r="A102" s="2" t="s">
        <v>15</v>
      </c>
      <c r="B102" s="25">
        <f>GETPIVOTDATA("Sum of Revenue",Pivot!$B$44,"Months (Order_Date)",A102)</f>
        <v>46454.799999999996</v>
      </c>
      <c r="C102" s="25">
        <f>GETPIVOTDATA("Sum of Expenses",Pivot!$B$44,"Months (Order_Date)",A102)</f>
        <v>27219.700000000008</v>
      </c>
      <c r="D102" s="25">
        <f>IFERROR(GETPIVOTDATA("Sum of Revenue",Pivot!$B$27,"Months (Order_Date)",A102),NA())</f>
        <v>46454.799999999996</v>
      </c>
      <c r="E102" s="25">
        <f>IFERROR(GETPIVOTDATA("Sum of Expenses",Pivot!$B$27,"Months (Order_Date)",A102),NA())</f>
        <v>27219.700000000008</v>
      </c>
    </row>
    <row r="103" spans="1:5" x14ac:dyDescent="0.3">
      <c r="A103" s="2" t="s">
        <v>16</v>
      </c>
      <c r="B103" s="25">
        <f>GETPIVOTDATA("Sum of Revenue",Pivot!$B$44,"Months (Order_Date)",A103)</f>
        <v>25206.7</v>
      </c>
      <c r="C103" s="25">
        <f>GETPIVOTDATA("Sum of Expenses",Pivot!$B$44,"Months (Order_Date)",A103)</f>
        <v>15475.44</v>
      </c>
      <c r="D103" s="25">
        <f>IFERROR(GETPIVOTDATA("Sum of Revenue",Pivot!$B$27,"Months (Order_Date)",A103),NA())</f>
        <v>25206.7</v>
      </c>
      <c r="E103" s="25">
        <f>IFERROR(GETPIVOTDATA("Sum of Expenses",Pivot!$B$27,"Months (Order_Date)",A103),NA())</f>
        <v>15475.44</v>
      </c>
    </row>
    <row r="104" spans="1:5" x14ac:dyDescent="0.3">
      <c r="A104" s="2" t="s">
        <v>17</v>
      </c>
      <c r="B104" s="25">
        <f>GETPIVOTDATA("Sum of Revenue",Pivot!$B$44,"Months (Order_Date)",A104)</f>
        <v>32333.949999999997</v>
      </c>
      <c r="C104" s="25">
        <f>GETPIVOTDATA("Sum of Expenses",Pivot!$B$44,"Months (Order_Date)",A104)</f>
        <v>17947.329999999998</v>
      </c>
      <c r="D104" s="25">
        <f>IFERROR(GETPIVOTDATA("Sum of Revenue",Pivot!$B$27,"Months (Order_Date)",A104),NA())</f>
        <v>32333.949999999997</v>
      </c>
      <c r="E104" s="25">
        <f>IFERROR(GETPIVOTDATA("Sum of Expenses",Pivot!$B$27,"Months (Order_Date)",A104),NA())</f>
        <v>17947.329999999998</v>
      </c>
    </row>
    <row r="105" spans="1:5" x14ac:dyDescent="0.3">
      <c r="A105" s="2" t="s">
        <v>18</v>
      </c>
      <c r="B105" s="25">
        <f>GETPIVOTDATA("Sum of Revenue",Pivot!$B$44,"Months (Order_Date)",A105)</f>
        <v>29518.1</v>
      </c>
      <c r="C105" s="25">
        <f>GETPIVOTDATA("Sum of Expenses",Pivot!$B$44,"Months (Order_Date)",A105)</f>
        <v>19789.03</v>
      </c>
      <c r="D105" s="25">
        <f>IFERROR(GETPIVOTDATA("Sum of Revenue",Pivot!$B$27,"Months (Order_Date)",A105),NA())</f>
        <v>29518.1</v>
      </c>
      <c r="E105" s="25">
        <f>IFERROR(GETPIVOTDATA("Sum of Expenses",Pivot!$B$27,"Months (Order_Date)",A105),NA())</f>
        <v>19789.03</v>
      </c>
    </row>
    <row r="106" spans="1:5" x14ac:dyDescent="0.3">
      <c r="A106" s="2" t="s">
        <v>19</v>
      </c>
      <c r="B106" s="25">
        <f>GETPIVOTDATA("Sum of Revenue",Pivot!$B$44,"Months (Order_Date)",A106)</f>
        <v>23538.600000000002</v>
      </c>
      <c r="C106" s="25">
        <f>GETPIVOTDATA("Sum of Expenses",Pivot!$B$44,"Months (Order_Date)",A106)</f>
        <v>13803.990000000002</v>
      </c>
      <c r="D106" s="25">
        <f>IFERROR(GETPIVOTDATA("Sum of Revenue",Pivot!$B$27,"Months (Order_Date)",A106),NA())</f>
        <v>23538.600000000002</v>
      </c>
      <c r="E106" s="25">
        <f>IFERROR(GETPIVOTDATA("Sum of Expenses",Pivot!$B$27,"Months (Order_Date)",A106),NA())</f>
        <v>13803.990000000002</v>
      </c>
    </row>
    <row r="107" spans="1:5" x14ac:dyDescent="0.3">
      <c r="A107" s="2" t="s">
        <v>20</v>
      </c>
      <c r="B107" s="25">
        <f>GETPIVOTDATA("Sum of Revenue",Pivot!$B$44,"Months (Order_Date)",A107)</f>
        <v>42508.45</v>
      </c>
      <c r="C107" s="25">
        <f>GETPIVOTDATA("Sum of Expenses",Pivot!$B$44,"Months (Order_Date)",A107)</f>
        <v>27909.069999999996</v>
      </c>
      <c r="D107" s="25">
        <f>IFERROR(GETPIVOTDATA("Sum of Revenue",Pivot!$B$27,"Months (Order_Date)",A107),NA())</f>
        <v>42508.45</v>
      </c>
      <c r="E107" s="25">
        <f>IFERROR(GETPIVOTDATA("Sum of Expenses",Pivot!$B$27,"Months (Order_Date)",A107),NA())</f>
        <v>27909.069999999996</v>
      </c>
    </row>
    <row r="108" spans="1:5" x14ac:dyDescent="0.3">
      <c r="A108" s="2" t="s">
        <v>21</v>
      </c>
      <c r="B108" s="25">
        <f>GETPIVOTDATA("Sum of Revenue",Pivot!$B$44,"Months (Order_Date)",A108)</f>
        <v>35726.1</v>
      </c>
      <c r="C108" s="25">
        <f>GETPIVOTDATA("Sum of Expenses",Pivot!$B$44,"Months (Order_Date)",A108)</f>
        <v>24265.979999999996</v>
      </c>
      <c r="D108" s="25">
        <f>IFERROR(GETPIVOTDATA("Sum of Revenue",Pivot!$B$27,"Months (Order_Date)",A108),NA())</f>
        <v>35726.1</v>
      </c>
      <c r="E108" s="25">
        <f>IFERROR(GETPIVOTDATA("Sum of Expenses",Pivot!$B$27,"Months (Order_Date)",A108),NA())</f>
        <v>24265.979999999996</v>
      </c>
    </row>
    <row r="109" spans="1:5" x14ac:dyDescent="0.3">
      <c r="A109" s="2" t="s">
        <v>22</v>
      </c>
      <c r="B109" s="25">
        <f>GETPIVOTDATA("Sum of Revenue",Pivot!$B$44,"Months (Order_Date)",A109)</f>
        <v>25604.899999999998</v>
      </c>
      <c r="C109" s="25">
        <f>GETPIVOTDATA("Sum of Expenses",Pivot!$B$44,"Months (Order_Date)",A109)</f>
        <v>14316.279999999999</v>
      </c>
      <c r="D109" s="25">
        <f>IFERROR(GETPIVOTDATA("Sum of Revenue",Pivot!$B$27,"Months (Order_Date)",A109),NA())</f>
        <v>25604.899999999998</v>
      </c>
      <c r="E109" s="25">
        <f>IFERROR(GETPIVOTDATA("Sum of Expenses",Pivot!$B$27,"Months (Order_Date)",A109),NA())</f>
        <v>14316.279999999999</v>
      </c>
    </row>
    <row r="110" spans="1:5" x14ac:dyDescent="0.3">
      <c r="A110" s="2" t="s">
        <v>23</v>
      </c>
      <c r="B110" s="25">
        <f>GETPIVOTDATA("Sum of Revenue",Pivot!$B$44,"Months (Order_Date)",A110)</f>
        <v>22430.050000000003</v>
      </c>
      <c r="C110" s="25">
        <f>GETPIVOTDATA("Sum of Expenses",Pivot!$B$44,"Months (Order_Date)",A110)</f>
        <v>15784.970000000001</v>
      </c>
      <c r="D110" s="25">
        <f>IFERROR(GETPIVOTDATA("Sum of Revenue",Pivot!$B$27,"Months (Order_Date)",A110),NA())</f>
        <v>22430.050000000003</v>
      </c>
      <c r="E110" s="25">
        <f>IFERROR(GETPIVOTDATA("Sum of Expenses",Pivot!$B$27,"Months (Order_Date)",A110),NA())</f>
        <v>15784.970000000001</v>
      </c>
    </row>
    <row r="111" spans="1:5" x14ac:dyDescent="0.3">
      <c r="A111" s="2" t="s">
        <v>24</v>
      </c>
      <c r="B111" s="25">
        <f>GETPIVOTDATA("Sum of Revenue",Pivot!$B$44,"Months (Order_Date)",A111)</f>
        <v>43618.950000000004</v>
      </c>
      <c r="C111" s="25">
        <f>GETPIVOTDATA("Sum of Expenses",Pivot!$B$44,"Months (Order_Date)",A111)</f>
        <v>28440.330000000005</v>
      </c>
      <c r="D111" s="25">
        <f>IFERROR(GETPIVOTDATA("Sum of Revenue",Pivot!$B$27,"Months (Order_Date)",A111),NA())</f>
        <v>43618.950000000004</v>
      </c>
      <c r="E111" s="25">
        <f>IFERROR(GETPIVOTDATA("Sum of Expenses",Pivot!$B$27,"Months (Order_Date)",A111),NA())</f>
        <v>28440.330000000005</v>
      </c>
    </row>
    <row r="112" spans="1:5" x14ac:dyDescent="0.3">
      <c r="A112" s="2" t="s">
        <v>25</v>
      </c>
      <c r="B112" s="25">
        <f>GETPIVOTDATA("Sum of Revenue",Pivot!$B$44,"Months (Order_Date)",A112)</f>
        <v>42847.85</v>
      </c>
      <c r="C112" s="25">
        <f>GETPIVOTDATA("Sum of Expenses",Pivot!$B$44,"Months (Order_Date)",A112)</f>
        <v>31312.199999999997</v>
      </c>
      <c r="D112" s="25">
        <f>IFERROR(GETPIVOTDATA("Sum of Revenue",Pivot!$B$27,"Months (Order_Date)",A112),NA())</f>
        <v>42847.85</v>
      </c>
      <c r="E112" s="25">
        <f>IFERROR(GETPIVOTDATA("Sum of Expenses",Pivot!$B$27,"Months (Order_Date)",A112),NA())</f>
        <v>31312.199999999997</v>
      </c>
    </row>
    <row r="113" spans="1:5" x14ac:dyDescent="0.3">
      <c r="B113" s="26">
        <f>SUMIF(D101:D112,"&gt;0",B101:B112)</f>
        <v>401664.6</v>
      </c>
      <c r="C113" s="26">
        <f>SUMIF(E101:E112,"&gt;0",C101:C112)</f>
        <v>257496.81000000006</v>
      </c>
    </row>
    <row r="117" spans="1:5" x14ac:dyDescent="0.3">
      <c r="A117" t="s">
        <v>109</v>
      </c>
    </row>
    <row r="118" spans="1:5" x14ac:dyDescent="0.3">
      <c r="A118" s="2" t="s">
        <v>72</v>
      </c>
      <c r="B118" s="25">
        <f>GETPIVOTDATA("Revenue",Pivot!$B$110,"Category",A118)</f>
        <v>89198.9</v>
      </c>
      <c r="D118" t="str" cm="1">
        <f t="array" ref="D118:E122">_xlfn._xlws.SORT(A118:B122,2,-1)</f>
        <v>Technology</v>
      </c>
      <c r="E118" s="25">
        <v>104424.49999999997</v>
      </c>
    </row>
    <row r="119" spans="1:5" x14ac:dyDescent="0.3">
      <c r="A119" s="2" t="s">
        <v>73</v>
      </c>
      <c r="B119" s="25">
        <f>GETPIVOTDATA("Revenue",Pivot!$B$110,"Category",A119)</f>
        <v>55714.75</v>
      </c>
      <c r="D119" t="str">
        <v>Accessories</v>
      </c>
      <c r="E119" s="25">
        <v>89198.9</v>
      </c>
    </row>
    <row r="120" spans="1:5" x14ac:dyDescent="0.3">
      <c r="A120" s="2" t="s">
        <v>74</v>
      </c>
      <c r="B120" s="25">
        <f>GETPIVOTDATA("Revenue",Pivot!$B$110,"Category",A120)</f>
        <v>64075.950000000004</v>
      </c>
      <c r="D120" t="str">
        <v>Office Supplies</v>
      </c>
      <c r="E120" s="25">
        <v>88250.5</v>
      </c>
    </row>
    <row r="121" spans="1:5" x14ac:dyDescent="0.3">
      <c r="A121" s="2" t="s">
        <v>75</v>
      </c>
      <c r="B121" s="25">
        <f>GETPIVOTDATA("Revenue",Pivot!$B$110,"Category",A121)</f>
        <v>88250.5</v>
      </c>
      <c r="D121" t="str">
        <v>Furniture</v>
      </c>
      <c r="E121" s="25">
        <v>64075.950000000004</v>
      </c>
    </row>
    <row r="122" spans="1:5" x14ac:dyDescent="0.3">
      <c r="A122" s="2" t="s">
        <v>76</v>
      </c>
      <c r="B122" s="25">
        <f>GETPIVOTDATA("Revenue",Pivot!$B$110,"Category",A122)</f>
        <v>104424.49999999997</v>
      </c>
      <c r="D122" t="str">
        <v>Appliances</v>
      </c>
      <c r="E122" s="25">
        <v>55714.75</v>
      </c>
    </row>
    <row r="123" spans="1:5" x14ac:dyDescent="0.3">
      <c r="B123" s="28">
        <f>SUM(B118:B122)</f>
        <v>401664.6</v>
      </c>
    </row>
    <row r="126" spans="1:5" x14ac:dyDescent="0.3">
      <c r="A126" t="s">
        <v>110</v>
      </c>
      <c r="B126" t="s">
        <v>111</v>
      </c>
      <c r="C126" t="s">
        <v>112</v>
      </c>
      <c r="D126" t="s">
        <v>54</v>
      </c>
    </row>
    <row r="127" spans="1:5" x14ac:dyDescent="0.3">
      <c r="A127" s="2" t="s">
        <v>14</v>
      </c>
      <c r="B127">
        <f>GETPIVOTDATA("Sum of Quantity",Pivot!$B$44,"Months (Order_Date)",A127)</f>
        <v>172</v>
      </c>
      <c r="C127" s="15">
        <f>IFERROR(GETPIVOTDATA("Sum of Quantity",Pivot!$B$27,"Months (Order_Date)",A127),NA())</f>
        <v>172</v>
      </c>
      <c r="D127">
        <f>IFERROR(GETPIVOTDATA("Sum of Quantity",Pivot!$B$27,"Months (Order_Date)",A127),NA())</f>
        <v>172</v>
      </c>
    </row>
    <row r="128" spans="1:5" x14ac:dyDescent="0.3">
      <c r="A128" s="2" t="s">
        <v>15</v>
      </c>
      <c r="B128">
        <f>GETPIVOTDATA("Sum of Quantity",Pivot!$B$44,"Months (Order_Date)",A128)</f>
        <v>199</v>
      </c>
      <c r="C128" s="15">
        <f>IFERROR(GETPIVOTDATA("Sum of Quantity",Pivot!$B$27,"Months (Order_Date)",A128),NA())</f>
        <v>199</v>
      </c>
      <c r="D128">
        <f>IFERROR(GETPIVOTDATA("Sum of Quantity",Pivot!$B$27,"Months (Order_Date)",A128),NA())</f>
        <v>199</v>
      </c>
    </row>
    <row r="129" spans="1:7" x14ac:dyDescent="0.3">
      <c r="A129" s="2" t="s">
        <v>16</v>
      </c>
      <c r="B129">
        <f>GETPIVOTDATA("Sum of Quantity",Pivot!$B$44,"Months (Order_Date)",A129)</f>
        <v>158</v>
      </c>
      <c r="C129" s="15">
        <f>IFERROR(GETPIVOTDATA("Sum of Quantity",Pivot!$B$27,"Months (Order_Date)",A129),NA())</f>
        <v>158</v>
      </c>
      <c r="D129">
        <f>IFERROR(GETPIVOTDATA("Sum of Quantity",Pivot!$B$27,"Months (Order_Date)",A129),NA())</f>
        <v>158</v>
      </c>
    </row>
    <row r="130" spans="1:7" x14ac:dyDescent="0.3">
      <c r="A130" s="2" t="s">
        <v>17</v>
      </c>
      <c r="B130">
        <f>GETPIVOTDATA("Sum of Quantity",Pivot!$B$44,"Months (Order_Date)",A130)</f>
        <v>155</v>
      </c>
      <c r="C130" s="15">
        <f>IFERROR(GETPIVOTDATA("Sum of Quantity",Pivot!$B$27,"Months (Order_Date)",A130),NA())</f>
        <v>155</v>
      </c>
      <c r="D130">
        <f>IFERROR(GETPIVOTDATA("Sum of Quantity",Pivot!$B$27,"Months (Order_Date)",A130),NA())</f>
        <v>155</v>
      </c>
    </row>
    <row r="131" spans="1:7" x14ac:dyDescent="0.3">
      <c r="A131" s="2" t="s">
        <v>18</v>
      </c>
      <c r="B131">
        <f>GETPIVOTDATA("Sum of Quantity",Pivot!$B$44,"Months (Order_Date)",A131)</f>
        <v>168</v>
      </c>
      <c r="C131" s="15">
        <f>IFERROR(GETPIVOTDATA("Sum of Quantity",Pivot!$B$27,"Months (Order_Date)",A131),NA())</f>
        <v>168</v>
      </c>
      <c r="D131">
        <f>IFERROR(GETPIVOTDATA("Sum of Quantity",Pivot!$B$27,"Months (Order_Date)",A131),NA())</f>
        <v>168</v>
      </c>
    </row>
    <row r="132" spans="1:7" x14ac:dyDescent="0.3">
      <c r="A132" s="2" t="s">
        <v>19</v>
      </c>
      <c r="B132">
        <f>GETPIVOTDATA("Sum of Quantity",Pivot!$B$44,"Months (Order_Date)",A132)</f>
        <v>125</v>
      </c>
      <c r="C132" s="15">
        <f>IFERROR(GETPIVOTDATA("Sum of Quantity",Pivot!$B$27,"Months (Order_Date)",A132),NA())</f>
        <v>125</v>
      </c>
      <c r="D132">
        <f>IFERROR(GETPIVOTDATA("Sum of Quantity",Pivot!$B$27,"Months (Order_Date)",A132),NA())</f>
        <v>125</v>
      </c>
      <c r="F132" s="21">
        <f>535*722.01</f>
        <v>386275.35</v>
      </c>
    </row>
    <row r="133" spans="1:7" x14ac:dyDescent="0.3">
      <c r="A133" s="2" t="s">
        <v>20</v>
      </c>
      <c r="B133">
        <f>GETPIVOTDATA("Sum of Quantity",Pivot!$B$44,"Months (Order_Date)",A133)</f>
        <v>195</v>
      </c>
      <c r="C133" s="15">
        <f>IFERROR(GETPIVOTDATA("Sum of Quantity",Pivot!$B$27,"Months (Order_Date)",A133),NA())</f>
        <v>195</v>
      </c>
      <c r="D133">
        <f>IFERROR(GETPIVOTDATA("Sum of Quantity",Pivot!$B$27,"Months (Order_Date)",A133),NA())</f>
        <v>195</v>
      </c>
    </row>
    <row r="134" spans="1:7" x14ac:dyDescent="0.3">
      <c r="A134" s="2" t="s">
        <v>21</v>
      </c>
      <c r="B134">
        <f>GETPIVOTDATA("Sum of Quantity",Pivot!$B$44,"Months (Order_Date)",A134)</f>
        <v>202</v>
      </c>
      <c r="C134" s="15">
        <f>IFERROR(GETPIVOTDATA("Sum of Quantity",Pivot!$B$27,"Months (Order_Date)",A134),NA())</f>
        <v>202</v>
      </c>
      <c r="D134">
        <f>IFERROR(GETPIVOTDATA("Sum of Quantity",Pivot!$B$27,"Months (Order_Date)",A134),NA())</f>
        <v>202</v>
      </c>
    </row>
    <row r="135" spans="1:7" x14ac:dyDescent="0.3">
      <c r="A135" s="2" t="s">
        <v>22</v>
      </c>
      <c r="B135">
        <f>GETPIVOTDATA("Sum of Quantity",Pivot!$B$44,"Months (Order_Date)",A135)</f>
        <v>118</v>
      </c>
      <c r="C135" s="15">
        <f>IFERROR(GETPIVOTDATA("Sum of Quantity",Pivot!$B$27,"Months (Order_Date)",A135),NA())</f>
        <v>118</v>
      </c>
      <c r="D135">
        <f>IFERROR(GETPIVOTDATA("Sum of Quantity",Pivot!$B$27,"Months (Order_Date)",A135),NA())</f>
        <v>118</v>
      </c>
    </row>
    <row r="136" spans="1:7" x14ac:dyDescent="0.3">
      <c r="A136" s="2" t="s">
        <v>23</v>
      </c>
      <c r="B136">
        <f>GETPIVOTDATA("Sum of Quantity",Pivot!$B$44,"Months (Order_Date)",A136)</f>
        <v>200</v>
      </c>
      <c r="C136" s="15">
        <f>IFERROR(GETPIVOTDATA("Sum of Quantity",Pivot!$B$27,"Months (Order_Date)",A136),NA())</f>
        <v>200</v>
      </c>
      <c r="D136">
        <f>IFERROR(GETPIVOTDATA("Sum of Quantity",Pivot!$B$27,"Months (Order_Date)",A136),NA())</f>
        <v>200</v>
      </c>
    </row>
    <row r="137" spans="1:7" x14ac:dyDescent="0.3">
      <c r="A137" s="2" t="s">
        <v>24</v>
      </c>
      <c r="B137">
        <f>GETPIVOTDATA("Sum of Quantity",Pivot!$B$44,"Months (Order_Date)",A137)</f>
        <v>189</v>
      </c>
      <c r="C137" s="15">
        <f>IFERROR(GETPIVOTDATA("Sum of Quantity",Pivot!$B$27,"Months (Order_Date)",A137),NA())</f>
        <v>189</v>
      </c>
      <c r="D137">
        <f>IFERROR(GETPIVOTDATA("Sum of Quantity",Pivot!$B$27,"Months (Order_Date)",A137),NA())</f>
        <v>189</v>
      </c>
    </row>
    <row r="138" spans="1:7" x14ac:dyDescent="0.3">
      <c r="A138" s="2" t="s">
        <v>25</v>
      </c>
      <c r="B138">
        <f>GETPIVOTDATA("Sum of Quantity",Pivot!$B$44,"Months (Order_Date)",A138)</f>
        <v>222</v>
      </c>
      <c r="C138" s="15">
        <f>IFERROR(GETPIVOTDATA("Sum of Quantity",Pivot!$B$27,"Months (Order_Date)",A138),NA())</f>
        <v>222</v>
      </c>
      <c r="D138">
        <f>IFERROR(GETPIVOTDATA("Sum of Quantity",Pivot!$B$27,"Months (Order_Date)",A138),NA())</f>
        <v>222</v>
      </c>
    </row>
    <row r="139" spans="1:7" x14ac:dyDescent="0.3">
      <c r="C139" s="4">
        <f>SUMIF(C127:C138,"&gt;0")</f>
        <v>2103</v>
      </c>
    </row>
    <row r="141" spans="1:7" x14ac:dyDescent="0.3">
      <c r="A141" s="2" t="s">
        <v>114</v>
      </c>
    </row>
    <row r="142" spans="1:7" x14ac:dyDescent="0.3">
      <c r="A142" s="5">
        <f>GETPIVOTDATA("Average of Discount_%",Pivot!$B$4)+0.15</f>
        <v>0.20364000000000007</v>
      </c>
      <c r="B142" s="27">
        <f>1-A142</f>
        <v>0.79635999999999996</v>
      </c>
      <c r="G142" t="s">
        <v>113</v>
      </c>
    </row>
    <row r="143" spans="1:7" x14ac:dyDescent="0.3">
      <c r="G143">
        <v>1</v>
      </c>
    </row>
    <row r="144" spans="1:7" x14ac:dyDescent="0.3">
      <c r="A144" t="s">
        <v>115</v>
      </c>
      <c r="B144" t="s">
        <v>77</v>
      </c>
      <c r="C144" t="s">
        <v>105</v>
      </c>
      <c r="G144">
        <v>1</v>
      </c>
    </row>
    <row r="145" spans="1:7" x14ac:dyDescent="0.3">
      <c r="A145" s="2" t="s">
        <v>86</v>
      </c>
      <c r="B145" s="25">
        <f>GETPIVOTDATA("Revenue",Pivot!$B$119,"Order_Priority",A145)</f>
        <v>96898.1</v>
      </c>
      <c r="C145" s="27">
        <f>B145/$B$147</f>
        <v>0.24124132422922007</v>
      </c>
      <c r="G145">
        <v>1</v>
      </c>
    </row>
    <row r="146" spans="1:7" x14ac:dyDescent="0.3">
      <c r="A146" s="2" t="s">
        <v>81</v>
      </c>
      <c r="B146" s="25">
        <f>GETPIVOTDATA("Revenue",Pivot!$B$119,"Order_Priority",A146)</f>
        <v>304766.50000000006</v>
      </c>
      <c r="C146" s="27">
        <f>B146/$B$147</f>
        <v>0.75875867577077982</v>
      </c>
      <c r="G146">
        <v>1</v>
      </c>
    </row>
    <row r="147" spans="1:7" x14ac:dyDescent="0.3">
      <c r="B147" s="26">
        <f>SUM(B145:B146)</f>
        <v>401664.60000000009</v>
      </c>
      <c r="G147">
        <v>1</v>
      </c>
    </row>
    <row r="148" spans="1:7" x14ac:dyDescent="0.3">
      <c r="G148">
        <v>1</v>
      </c>
    </row>
    <row r="149" spans="1:7" x14ac:dyDescent="0.3">
      <c r="A149" s="40" t="s">
        <v>116</v>
      </c>
      <c r="B149" s="40"/>
      <c r="G149">
        <v>1</v>
      </c>
    </row>
    <row r="150" spans="1:7" x14ac:dyDescent="0.3">
      <c r="A150" s="41" t="s">
        <v>96</v>
      </c>
      <c r="B150" s="41" t="s">
        <v>97</v>
      </c>
      <c r="G150">
        <v>1</v>
      </c>
    </row>
    <row r="151" spans="1:7" x14ac:dyDescent="0.3">
      <c r="A151" s="42">
        <v>0</v>
      </c>
      <c r="B151" s="42">
        <v>1</v>
      </c>
      <c r="G151">
        <v>1</v>
      </c>
    </row>
    <row r="152" spans="1:7" x14ac:dyDescent="0.3">
      <c r="A152" s="42">
        <f>SIN(C145*2*PI())</f>
        <v>0.9984861005516481</v>
      </c>
      <c r="B152" s="42">
        <f>COS(C146*2*PI())</f>
        <v>5.5004608944740921E-2</v>
      </c>
      <c r="G152">
        <v>1</v>
      </c>
    </row>
    <row r="153" spans="1:7" x14ac:dyDescent="0.3">
      <c r="G153">
        <v>1</v>
      </c>
    </row>
    <row r="154" spans="1:7" x14ac:dyDescent="0.3">
      <c r="G154">
        <v>1</v>
      </c>
    </row>
    <row r="155" spans="1:7" x14ac:dyDescent="0.3">
      <c r="G155">
        <v>1</v>
      </c>
    </row>
    <row r="156" spans="1:7" x14ac:dyDescent="0.3">
      <c r="G156">
        <v>1</v>
      </c>
    </row>
    <row r="157" spans="1:7" x14ac:dyDescent="0.3">
      <c r="G157">
        <v>1</v>
      </c>
    </row>
    <row r="158" spans="1:7" x14ac:dyDescent="0.3">
      <c r="G158">
        <v>1</v>
      </c>
    </row>
    <row r="159" spans="1:7" x14ac:dyDescent="0.3">
      <c r="G159">
        <v>1</v>
      </c>
    </row>
    <row r="160" spans="1:7" x14ac:dyDescent="0.3">
      <c r="G160">
        <v>1</v>
      </c>
    </row>
    <row r="161" spans="7:7" x14ac:dyDescent="0.3">
      <c r="G161">
        <v>1</v>
      </c>
    </row>
    <row r="162" spans="7:7" x14ac:dyDescent="0.3">
      <c r="G162">
        <v>1</v>
      </c>
    </row>
    <row r="163" spans="7:7" x14ac:dyDescent="0.3">
      <c r="G163">
        <v>1</v>
      </c>
    </row>
    <row r="164" spans="7:7" x14ac:dyDescent="0.3">
      <c r="G164">
        <v>1</v>
      </c>
    </row>
    <row r="165" spans="7:7" x14ac:dyDescent="0.3">
      <c r="G165">
        <v>1</v>
      </c>
    </row>
    <row r="166" spans="7:7" x14ac:dyDescent="0.3">
      <c r="G166">
        <v>1</v>
      </c>
    </row>
    <row r="167" spans="7:7" x14ac:dyDescent="0.3">
      <c r="G167">
        <v>1</v>
      </c>
    </row>
    <row r="168" spans="7:7" x14ac:dyDescent="0.3">
      <c r="G168">
        <v>1</v>
      </c>
    </row>
    <row r="169" spans="7:7" x14ac:dyDescent="0.3">
      <c r="G169">
        <v>1</v>
      </c>
    </row>
    <row r="170" spans="7:7" x14ac:dyDescent="0.3">
      <c r="G170">
        <v>1</v>
      </c>
    </row>
    <row r="171" spans="7:7" x14ac:dyDescent="0.3">
      <c r="G171">
        <v>1</v>
      </c>
    </row>
    <row r="172" spans="7:7" x14ac:dyDescent="0.3">
      <c r="G172">
        <v>1</v>
      </c>
    </row>
    <row r="173" spans="7:7" x14ac:dyDescent="0.3">
      <c r="G173">
        <v>1</v>
      </c>
    </row>
    <row r="174" spans="7:7" x14ac:dyDescent="0.3">
      <c r="G174">
        <v>1</v>
      </c>
    </row>
    <row r="175" spans="7:7" x14ac:dyDescent="0.3">
      <c r="G175">
        <v>1</v>
      </c>
    </row>
    <row r="176" spans="7:7" x14ac:dyDescent="0.3">
      <c r="G176">
        <v>1</v>
      </c>
    </row>
    <row r="177" spans="7:7" x14ac:dyDescent="0.3">
      <c r="G177">
        <v>1</v>
      </c>
    </row>
    <row r="178" spans="7:7" x14ac:dyDescent="0.3">
      <c r="G178">
        <v>1</v>
      </c>
    </row>
    <row r="179" spans="7:7" x14ac:dyDescent="0.3">
      <c r="G179">
        <v>1</v>
      </c>
    </row>
    <row r="180" spans="7:7" x14ac:dyDescent="0.3">
      <c r="G180">
        <v>1</v>
      </c>
    </row>
    <row r="181" spans="7:7" x14ac:dyDescent="0.3">
      <c r="G181">
        <v>1</v>
      </c>
    </row>
    <row r="182" spans="7:7" x14ac:dyDescent="0.3">
      <c r="G182">
        <v>1</v>
      </c>
    </row>
    <row r="183" spans="7:7" x14ac:dyDescent="0.3">
      <c r="G183">
        <v>1</v>
      </c>
    </row>
    <row r="184" spans="7:7" x14ac:dyDescent="0.3">
      <c r="G184">
        <v>1</v>
      </c>
    </row>
    <row r="185" spans="7:7" x14ac:dyDescent="0.3">
      <c r="G185">
        <v>1</v>
      </c>
    </row>
    <row r="186" spans="7:7" x14ac:dyDescent="0.3">
      <c r="G186">
        <v>1</v>
      </c>
    </row>
    <row r="187" spans="7:7" x14ac:dyDescent="0.3">
      <c r="G187">
        <v>1</v>
      </c>
    </row>
    <row r="188" spans="7:7" x14ac:dyDescent="0.3">
      <c r="G188">
        <v>1</v>
      </c>
    </row>
    <row r="189" spans="7:7" x14ac:dyDescent="0.3">
      <c r="G189">
        <v>1</v>
      </c>
    </row>
    <row r="190" spans="7:7" x14ac:dyDescent="0.3">
      <c r="G190">
        <v>1</v>
      </c>
    </row>
    <row r="191" spans="7:7" x14ac:dyDescent="0.3">
      <c r="G191">
        <v>1</v>
      </c>
    </row>
    <row r="192" spans="7:7" x14ac:dyDescent="0.3">
      <c r="G192">
        <v>1</v>
      </c>
    </row>
    <row r="193" spans="7:7" x14ac:dyDescent="0.3">
      <c r="G193">
        <v>1</v>
      </c>
    </row>
    <row r="194" spans="7:7" x14ac:dyDescent="0.3">
      <c r="G194">
        <v>1</v>
      </c>
    </row>
    <row r="195" spans="7:7" x14ac:dyDescent="0.3">
      <c r="G195">
        <v>1</v>
      </c>
    </row>
    <row r="196" spans="7:7" x14ac:dyDescent="0.3">
      <c r="G196">
        <v>1</v>
      </c>
    </row>
    <row r="197" spans="7:7" x14ac:dyDescent="0.3">
      <c r="G197">
        <v>1</v>
      </c>
    </row>
    <row r="198" spans="7:7" x14ac:dyDescent="0.3">
      <c r="G198">
        <v>1</v>
      </c>
    </row>
    <row r="199" spans="7:7" x14ac:dyDescent="0.3">
      <c r="G199">
        <v>1</v>
      </c>
    </row>
    <row r="200" spans="7:7" x14ac:dyDescent="0.3">
      <c r="G200">
        <v>1</v>
      </c>
    </row>
    <row r="201" spans="7:7" x14ac:dyDescent="0.3">
      <c r="G201">
        <v>1</v>
      </c>
    </row>
    <row r="202" spans="7:7" x14ac:dyDescent="0.3">
      <c r="G202">
        <v>1</v>
      </c>
    </row>
    <row r="203" spans="7:7" x14ac:dyDescent="0.3">
      <c r="G203">
        <v>1</v>
      </c>
    </row>
    <row r="204" spans="7:7" x14ac:dyDescent="0.3">
      <c r="G204">
        <v>1</v>
      </c>
    </row>
    <row r="205" spans="7:7" x14ac:dyDescent="0.3">
      <c r="G205">
        <v>1</v>
      </c>
    </row>
    <row r="206" spans="7:7" x14ac:dyDescent="0.3">
      <c r="G206">
        <v>1</v>
      </c>
    </row>
    <row r="207" spans="7:7" x14ac:dyDescent="0.3">
      <c r="G207">
        <v>1</v>
      </c>
    </row>
    <row r="208" spans="7:7" x14ac:dyDescent="0.3">
      <c r="G208">
        <v>1</v>
      </c>
    </row>
    <row r="209" spans="7:7" x14ac:dyDescent="0.3">
      <c r="G209">
        <v>1</v>
      </c>
    </row>
    <row r="210" spans="7:7" x14ac:dyDescent="0.3">
      <c r="G210">
        <v>1</v>
      </c>
    </row>
    <row r="211" spans="7:7" x14ac:dyDescent="0.3">
      <c r="G211">
        <v>1</v>
      </c>
    </row>
    <row r="212" spans="7:7" x14ac:dyDescent="0.3">
      <c r="G212">
        <v>1</v>
      </c>
    </row>
    <row r="213" spans="7:7" x14ac:dyDescent="0.3">
      <c r="G213">
        <v>1</v>
      </c>
    </row>
    <row r="214" spans="7:7" x14ac:dyDescent="0.3">
      <c r="G214">
        <v>1</v>
      </c>
    </row>
    <row r="215" spans="7:7" x14ac:dyDescent="0.3">
      <c r="G215">
        <v>1</v>
      </c>
    </row>
    <row r="216" spans="7:7" x14ac:dyDescent="0.3">
      <c r="G216">
        <v>1</v>
      </c>
    </row>
    <row r="217" spans="7:7" x14ac:dyDescent="0.3">
      <c r="G217">
        <v>1</v>
      </c>
    </row>
    <row r="218" spans="7:7" x14ac:dyDescent="0.3">
      <c r="G218">
        <v>1</v>
      </c>
    </row>
    <row r="219" spans="7:7" x14ac:dyDescent="0.3">
      <c r="G219">
        <v>1</v>
      </c>
    </row>
    <row r="220" spans="7:7" x14ac:dyDescent="0.3">
      <c r="G220">
        <v>1</v>
      </c>
    </row>
    <row r="221" spans="7:7" x14ac:dyDescent="0.3">
      <c r="G221">
        <v>1</v>
      </c>
    </row>
    <row r="222" spans="7:7" x14ac:dyDescent="0.3">
      <c r="G222">
        <v>1</v>
      </c>
    </row>
    <row r="223" spans="7:7" x14ac:dyDescent="0.3">
      <c r="G223">
        <v>1</v>
      </c>
    </row>
    <row r="224" spans="7:7" x14ac:dyDescent="0.3">
      <c r="G224">
        <v>1</v>
      </c>
    </row>
    <row r="225" spans="7:7" x14ac:dyDescent="0.3">
      <c r="G225">
        <v>1</v>
      </c>
    </row>
    <row r="226" spans="7:7" x14ac:dyDescent="0.3">
      <c r="G226">
        <v>1</v>
      </c>
    </row>
    <row r="227" spans="7:7" x14ac:dyDescent="0.3">
      <c r="G227">
        <v>1</v>
      </c>
    </row>
    <row r="228" spans="7:7" x14ac:dyDescent="0.3">
      <c r="G228">
        <v>1</v>
      </c>
    </row>
    <row r="229" spans="7:7" x14ac:dyDescent="0.3">
      <c r="G229">
        <v>1</v>
      </c>
    </row>
    <row r="230" spans="7:7" x14ac:dyDescent="0.3">
      <c r="G230">
        <v>1</v>
      </c>
    </row>
    <row r="231" spans="7:7" x14ac:dyDescent="0.3">
      <c r="G231">
        <v>1</v>
      </c>
    </row>
    <row r="232" spans="7:7" x14ac:dyDescent="0.3">
      <c r="G232">
        <v>1</v>
      </c>
    </row>
  </sheetData>
  <phoneticPr fontId="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A8395-582B-4D08-9A9F-1135A04E7252}">
  <dimension ref="A1"/>
  <sheetViews>
    <sheetView showGridLines="0" showRowColHeaders="0" zoomScale="109" zoomScaleNormal="109" workbookViewId="0"/>
  </sheetViews>
  <sheetFormatPr baseColWidth="10" defaultColWidth="8.88671875" defaultRowHeight="14.4" x14ac:dyDescent="0.3"/>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Check Box 1">
              <controlPr defaultSize="0" autoFill="0" autoLine="0" autoPict="0">
                <anchor moveWithCells="1">
                  <from>
                    <xdr:col>7</xdr:col>
                    <xdr:colOff>403860</xdr:colOff>
                    <xdr:row>11</xdr:row>
                    <xdr:rowOff>144780</xdr:rowOff>
                  </from>
                  <to>
                    <xdr:col>9</xdr:col>
                    <xdr:colOff>38100</xdr:colOff>
                    <xdr:row>14</xdr:row>
                    <xdr:rowOff>53340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F54C9-0F94-4C4B-BD34-00075C80CADC}">
  <dimension ref="A1"/>
  <sheetViews>
    <sheetView showGridLines="0" showRowColHeaders="0" zoomScale="72" zoomScaleNormal="109" workbookViewId="0"/>
  </sheetViews>
  <sheetFormatPr baseColWidth="10" defaultColWidth="8.88671875"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EBC34-56F9-490E-A38D-D76D28137509}">
  <dimension ref="A1"/>
  <sheetViews>
    <sheetView showGridLines="0" showRowColHeaders="0" zoomScale="67" zoomScaleNormal="109" workbookViewId="0"/>
  </sheetViews>
  <sheetFormatPr baseColWidth="10" defaultColWidth="8.88671875"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12B63-A580-4C5A-BE30-E81B6A131C76}">
  <dimension ref="A1:AC506"/>
  <sheetViews>
    <sheetView showGridLines="0" showRowColHeaders="0" workbookViewId="0"/>
  </sheetViews>
  <sheetFormatPr baseColWidth="10" defaultColWidth="8.88671875" defaultRowHeight="14.4" x14ac:dyDescent="0.3"/>
  <cols>
    <col min="1" max="1" width="4.44140625" customWidth="1"/>
    <col min="2" max="2" width="10.77734375" bestFit="1" customWidth="1"/>
    <col min="3" max="3" width="13.6640625" bestFit="1" customWidth="1"/>
    <col min="4" max="4" width="10.44140625" bestFit="1" customWidth="1"/>
    <col min="5" max="5" width="9.21875" bestFit="1" customWidth="1"/>
    <col min="6" max="6" width="13.109375" bestFit="1" customWidth="1"/>
    <col min="7" max="7" width="15.6640625" bestFit="1" customWidth="1"/>
    <col min="8" max="8" width="14.109375" bestFit="1" customWidth="1"/>
    <col min="9" max="9" width="17.77734375" bestFit="1" customWidth="1"/>
    <col min="10" max="10" width="16.44140625" bestFit="1" customWidth="1"/>
    <col min="11" max="11" width="10.33203125" bestFit="1" customWidth="1"/>
    <col min="12" max="12" width="12.109375" bestFit="1" customWidth="1"/>
    <col min="13" max="13" width="13.5546875" bestFit="1" customWidth="1"/>
    <col min="14" max="14" width="13.6640625" bestFit="1" customWidth="1"/>
    <col min="15" max="15" width="10.33203125" bestFit="1" customWidth="1"/>
    <col min="16" max="16" width="10.77734375" bestFit="1" customWidth="1"/>
    <col min="17" max="17" width="8" bestFit="1" customWidth="1"/>
    <col min="18" max="18" width="19" bestFit="1" customWidth="1"/>
    <col min="19" max="19" width="19.88671875" bestFit="1" customWidth="1"/>
    <col min="20" max="20" width="14.5546875" bestFit="1" customWidth="1"/>
    <col min="21" max="21" width="26.77734375" bestFit="1" customWidth="1"/>
    <col min="22" max="22" width="13.44140625" bestFit="1" customWidth="1"/>
    <col min="23" max="23" width="17.6640625" bestFit="1" customWidth="1"/>
  </cols>
  <sheetData>
    <row r="1" spans="1:29" x14ac:dyDescent="0.3">
      <c r="A1" s="43"/>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row>
    <row r="2" spans="1:29" x14ac:dyDescent="0.3">
      <c r="A2" s="43"/>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row>
    <row r="3" spans="1:29" x14ac:dyDescent="0.3">
      <c r="A3" s="43"/>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row>
    <row r="4" spans="1:29" x14ac:dyDescent="0.3">
      <c r="A4" s="43"/>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row>
    <row r="5" spans="1:29" x14ac:dyDescent="0.3">
      <c r="A5" s="43"/>
      <c r="B5" s="43"/>
      <c r="C5" s="43"/>
      <c r="D5" s="43"/>
      <c r="E5" s="43"/>
      <c r="F5" s="43"/>
      <c r="G5" s="43"/>
      <c r="H5" s="43"/>
      <c r="I5" s="43"/>
      <c r="J5" s="43"/>
      <c r="K5" s="43"/>
      <c r="L5" s="43"/>
      <c r="M5" s="43"/>
      <c r="N5" s="43"/>
      <c r="O5" s="43"/>
      <c r="P5" s="43"/>
      <c r="Q5" s="43"/>
      <c r="R5" s="43"/>
      <c r="S5" s="43"/>
      <c r="T5" s="43"/>
      <c r="U5" s="43"/>
      <c r="V5" s="43"/>
      <c r="W5" s="43"/>
      <c r="X5" s="43"/>
      <c r="Y5" s="43"/>
      <c r="Z5" s="43"/>
      <c r="AA5" s="43"/>
      <c r="AB5" s="43"/>
      <c r="AC5" s="43"/>
    </row>
    <row r="6" spans="1:29" ht="18" x14ac:dyDescent="0.35">
      <c r="A6" s="43"/>
      <c r="B6" s="44" t="s">
        <v>117</v>
      </c>
      <c r="C6" s="46" t="s">
        <v>118</v>
      </c>
      <c r="D6" s="46" t="s">
        <v>119</v>
      </c>
      <c r="E6" s="46" t="s">
        <v>120</v>
      </c>
      <c r="F6" s="46" t="s">
        <v>121</v>
      </c>
      <c r="G6" s="46" t="s">
        <v>122</v>
      </c>
      <c r="H6" s="46" t="s">
        <v>123</v>
      </c>
      <c r="I6" s="46" t="s">
        <v>124</v>
      </c>
      <c r="J6" s="46" t="s">
        <v>125</v>
      </c>
      <c r="K6" s="46" t="s">
        <v>126</v>
      </c>
      <c r="L6" s="46" t="s">
        <v>127</v>
      </c>
      <c r="M6" s="46" t="s">
        <v>128</v>
      </c>
      <c r="N6" s="46" t="s">
        <v>129</v>
      </c>
      <c r="O6" s="46" t="s">
        <v>77</v>
      </c>
      <c r="P6" s="46" t="s">
        <v>78</v>
      </c>
      <c r="Q6" s="46" t="s">
        <v>43</v>
      </c>
      <c r="R6" s="46" t="s">
        <v>130</v>
      </c>
      <c r="S6" s="46" t="s">
        <v>131</v>
      </c>
      <c r="T6" s="46" t="s">
        <v>132</v>
      </c>
      <c r="U6" s="46" t="s">
        <v>133</v>
      </c>
      <c r="V6" s="46" t="s">
        <v>134</v>
      </c>
      <c r="W6" s="47" t="s">
        <v>135</v>
      </c>
      <c r="X6" s="43"/>
      <c r="Y6" s="43"/>
      <c r="Z6" s="43"/>
      <c r="AA6" s="43"/>
      <c r="AB6" s="43"/>
      <c r="AC6" s="43"/>
    </row>
    <row r="7" spans="1:29" x14ac:dyDescent="0.3">
      <c r="A7" s="43"/>
      <c r="B7" s="45" t="s">
        <v>136</v>
      </c>
      <c r="C7" s="48">
        <v>45550</v>
      </c>
      <c r="D7" s="49" t="s">
        <v>137</v>
      </c>
      <c r="E7" s="49" t="s">
        <v>71</v>
      </c>
      <c r="F7" s="49" t="s">
        <v>72</v>
      </c>
      <c r="G7" s="49" t="s">
        <v>138</v>
      </c>
      <c r="H7" s="49" t="s">
        <v>82</v>
      </c>
      <c r="I7" s="49" t="s">
        <v>83</v>
      </c>
      <c r="J7" s="49" t="s">
        <v>81</v>
      </c>
      <c r="K7" s="49">
        <v>4</v>
      </c>
      <c r="L7" s="49">
        <v>300</v>
      </c>
      <c r="M7" s="49">
        <v>0.03</v>
      </c>
      <c r="N7" s="49">
        <v>1200</v>
      </c>
      <c r="O7" s="49">
        <v>1164</v>
      </c>
      <c r="P7" s="49">
        <v>601.82000000000005</v>
      </c>
      <c r="Q7" s="49">
        <v>562.17999999999995</v>
      </c>
      <c r="R7" s="49">
        <v>0.48299999999999998</v>
      </c>
      <c r="S7" s="49">
        <v>0.51700000000000002</v>
      </c>
      <c r="T7" s="49">
        <v>876</v>
      </c>
      <c r="U7" s="49">
        <v>1.7321</v>
      </c>
      <c r="V7" s="49">
        <v>1</v>
      </c>
      <c r="W7" s="50">
        <v>0.25</v>
      </c>
      <c r="X7" s="43"/>
      <c r="Y7" s="43"/>
      <c r="Z7" s="43"/>
      <c r="AA7" s="43"/>
      <c r="AB7" s="43"/>
      <c r="AC7" s="43"/>
    </row>
    <row r="8" spans="1:29" x14ac:dyDescent="0.3">
      <c r="A8" s="43"/>
      <c r="B8" s="45" t="s">
        <v>139</v>
      </c>
      <c r="C8" s="48">
        <v>45409</v>
      </c>
      <c r="D8" s="49" t="s">
        <v>140</v>
      </c>
      <c r="E8" s="49" t="s">
        <v>71</v>
      </c>
      <c r="F8" s="49" t="s">
        <v>76</v>
      </c>
      <c r="G8" s="49" t="s">
        <v>141</v>
      </c>
      <c r="H8" s="49" t="s">
        <v>84</v>
      </c>
      <c r="I8" s="49" t="s">
        <v>83</v>
      </c>
      <c r="J8" s="49" t="s">
        <v>81</v>
      </c>
      <c r="K8" s="49">
        <v>5</v>
      </c>
      <c r="L8" s="49">
        <v>25</v>
      </c>
      <c r="M8" s="49">
        <v>0.15</v>
      </c>
      <c r="N8" s="49">
        <v>125</v>
      </c>
      <c r="O8" s="49">
        <v>106.25</v>
      </c>
      <c r="P8" s="49">
        <v>71.94</v>
      </c>
      <c r="Q8" s="49">
        <v>34.31</v>
      </c>
      <c r="R8" s="49">
        <v>0.32290000000000002</v>
      </c>
      <c r="S8" s="49">
        <v>0.67710000000000004</v>
      </c>
      <c r="T8" s="49">
        <v>63</v>
      </c>
      <c r="U8" s="49">
        <v>0.1124</v>
      </c>
      <c r="V8" s="49">
        <v>0</v>
      </c>
      <c r="W8" s="50">
        <v>0</v>
      </c>
      <c r="X8" s="43"/>
      <c r="Y8" s="43"/>
      <c r="Z8" s="43"/>
      <c r="AA8" s="43"/>
      <c r="AB8" s="43"/>
      <c r="AC8" s="43"/>
    </row>
    <row r="9" spans="1:29" x14ac:dyDescent="0.3">
      <c r="A9" s="43"/>
      <c r="B9" s="45" t="s">
        <v>142</v>
      </c>
      <c r="C9" s="48">
        <v>45999</v>
      </c>
      <c r="D9" s="49" t="s">
        <v>143</v>
      </c>
      <c r="E9" s="49" t="s">
        <v>69</v>
      </c>
      <c r="F9" s="49" t="s">
        <v>76</v>
      </c>
      <c r="G9" s="49" t="s">
        <v>144</v>
      </c>
      <c r="H9" s="49" t="s">
        <v>84</v>
      </c>
      <c r="I9" s="49" t="s">
        <v>83</v>
      </c>
      <c r="J9" s="49" t="s">
        <v>81</v>
      </c>
      <c r="K9" s="49">
        <v>4</v>
      </c>
      <c r="L9" s="49">
        <v>200</v>
      </c>
      <c r="M9" s="49">
        <v>0.08</v>
      </c>
      <c r="N9" s="49">
        <v>800</v>
      </c>
      <c r="O9" s="49">
        <v>736</v>
      </c>
      <c r="P9" s="49">
        <v>548.02</v>
      </c>
      <c r="Q9" s="49">
        <v>187.98</v>
      </c>
      <c r="R9" s="49">
        <v>0.25540000000000002</v>
      </c>
      <c r="S9" s="49">
        <v>0.74460000000000004</v>
      </c>
      <c r="T9" s="49">
        <v>587</v>
      </c>
      <c r="U9" s="49">
        <v>0.68149999999999999</v>
      </c>
      <c r="V9" s="49">
        <v>0</v>
      </c>
      <c r="W9" s="50">
        <v>0</v>
      </c>
      <c r="X9" s="43"/>
      <c r="Y9" s="43"/>
      <c r="Z9" s="43"/>
      <c r="AA9" s="43"/>
      <c r="AB9" s="43"/>
      <c r="AC9" s="43"/>
    </row>
    <row r="10" spans="1:29" x14ac:dyDescent="0.3">
      <c r="A10" s="43"/>
      <c r="B10" s="45" t="s">
        <v>145</v>
      </c>
      <c r="C10" s="48">
        <v>45542</v>
      </c>
      <c r="D10" s="49" t="s">
        <v>140</v>
      </c>
      <c r="E10" s="49" t="s">
        <v>71</v>
      </c>
      <c r="F10" s="49" t="s">
        <v>75</v>
      </c>
      <c r="G10" s="49" t="s">
        <v>138</v>
      </c>
      <c r="H10" s="49" t="s">
        <v>82</v>
      </c>
      <c r="I10" s="49" t="s">
        <v>83</v>
      </c>
      <c r="J10" s="49" t="s">
        <v>81</v>
      </c>
      <c r="K10" s="49">
        <v>5</v>
      </c>
      <c r="L10" s="49">
        <v>150</v>
      </c>
      <c r="M10" s="49">
        <v>0</v>
      </c>
      <c r="N10" s="49">
        <v>750</v>
      </c>
      <c r="O10" s="49">
        <v>750</v>
      </c>
      <c r="P10" s="49">
        <v>431.08</v>
      </c>
      <c r="Q10" s="49">
        <v>318.92</v>
      </c>
      <c r="R10" s="49">
        <v>0.42520000000000002</v>
      </c>
      <c r="S10" s="49">
        <v>0.57479999999999998</v>
      </c>
      <c r="T10" s="49">
        <v>907</v>
      </c>
      <c r="U10" s="49">
        <v>1.0302</v>
      </c>
      <c r="V10" s="49">
        <v>0</v>
      </c>
      <c r="W10" s="50">
        <v>0</v>
      </c>
      <c r="X10" s="43"/>
      <c r="Y10" s="43"/>
      <c r="Z10" s="43"/>
      <c r="AA10" s="43"/>
      <c r="AB10" s="43"/>
      <c r="AC10" s="43"/>
    </row>
    <row r="11" spans="1:29" x14ac:dyDescent="0.3">
      <c r="A11" s="43"/>
      <c r="B11" s="45" t="s">
        <v>146</v>
      </c>
      <c r="C11" s="48">
        <v>45913</v>
      </c>
      <c r="D11" s="49" t="s">
        <v>140</v>
      </c>
      <c r="E11" s="49" t="s">
        <v>71</v>
      </c>
      <c r="F11" s="49" t="s">
        <v>75</v>
      </c>
      <c r="G11" s="49" t="s">
        <v>147</v>
      </c>
      <c r="H11" s="49" t="s">
        <v>82</v>
      </c>
      <c r="I11" s="49" t="s">
        <v>83</v>
      </c>
      <c r="J11" s="49" t="s">
        <v>86</v>
      </c>
      <c r="K11" s="49">
        <v>5</v>
      </c>
      <c r="L11" s="49">
        <v>40</v>
      </c>
      <c r="M11" s="49">
        <v>0</v>
      </c>
      <c r="N11" s="49">
        <v>200</v>
      </c>
      <c r="O11" s="49">
        <v>200</v>
      </c>
      <c r="P11" s="49">
        <v>105.1</v>
      </c>
      <c r="Q11" s="49">
        <v>94.9</v>
      </c>
      <c r="R11" s="49">
        <v>0.47449999999999998</v>
      </c>
      <c r="S11" s="49">
        <v>0.52549999999999997</v>
      </c>
      <c r="T11" s="49">
        <v>205</v>
      </c>
      <c r="U11" s="49">
        <v>0.2747</v>
      </c>
      <c r="V11" s="49">
        <v>1</v>
      </c>
      <c r="W11" s="50">
        <v>0.2</v>
      </c>
      <c r="X11" s="43"/>
      <c r="Y11" s="43"/>
      <c r="Z11" s="43"/>
      <c r="AA11" s="43"/>
      <c r="AB11" s="43"/>
      <c r="AC11" s="43"/>
    </row>
    <row r="12" spans="1:29" x14ac:dyDescent="0.3">
      <c r="A12" s="43"/>
      <c r="B12" s="45" t="s">
        <v>148</v>
      </c>
      <c r="C12" s="48">
        <v>45972</v>
      </c>
      <c r="D12" s="49" t="s">
        <v>149</v>
      </c>
      <c r="E12" s="49" t="s">
        <v>70</v>
      </c>
      <c r="F12" s="49" t="s">
        <v>73</v>
      </c>
      <c r="G12" s="49" t="s">
        <v>141</v>
      </c>
      <c r="H12" s="49" t="s">
        <v>84</v>
      </c>
      <c r="I12" s="49" t="s">
        <v>80</v>
      </c>
      <c r="J12" s="49" t="s">
        <v>81</v>
      </c>
      <c r="K12" s="49">
        <v>5</v>
      </c>
      <c r="L12" s="49">
        <v>750</v>
      </c>
      <c r="M12" s="49">
        <v>0.1</v>
      </c>
      <c r="N12" s="49">
        <v>3750</v>
      </c>
      <c r="O12" s="49">
        <v>3375</v>
      </c>
      <c r="P12" s="49">
        <v>2508.73</v>
      </c>
      <c r="Q12" s="49">
        <v>866.27</v>
      </c>
      <c r="R12" s="49">
        <v>0.25669999999999998</v>
      </c>
      <c r="S12" s="49">
        <v>0.74329999999999996</v>
      </c>
      <c r="T12" s="49">
        <v>2279</v>
      </c>
      <c r="U12" s="49">
        <v>3.5156000000000001</v>
      </c>
      <c r="V12" s="49">
        <v>1</v>
      </c>
      <c r="W12" s="50">
        <v>0.2</v>
      </c>
      <c r="X12" s="43"/>
      <c r="Y12" s="43"/>
      <c r="Z12" s="43"/>
      <c r="AA12" s="43"/>
      <c r="AB12" s="43"/>
      <c r="AC12" s="43"/>
    </row>
    <row r="13" spans="1:29" x14ac:dyDescent="0.3">
      <c r="A13" s="43"/>
      <c r="B13" s="45" t="s">
        <v>150</v>
      </c>
      <c r="C13" s="48">
        <v>45422</v>
      </c>
      <c r="D13" s="49" t="s">
        <v>151</v>
      </c>
      <c r="E13" s="49" t="s">
        <v>70</v>
      </c>
      <c r="F13" s="49" t="s">
        <v>74</v>
      </c>
      <c r="G13" s="49" t="s">
        <v>138</v>
      </c>
      <c r="H13" s="49" t="s">
        <v>85</v>
      </c>
      <c r="I13" s="49" t="s">
        <v>83</v>
      </c>
      <c r="J13" s="49" t="s">
        <v>81</v>
      </c>
      <c r="K13" s="49">
        <v>2</v>
      </c>
      <c r="L13" s="49">
        <v>500</v>
      </c>
      <c r="M13" s="49">
        <v>0.05</v>
      </c>
      <c r="N13" s="49">
        <v>1000</v>
      </c>
      <c r="O13" s="49">
        <v>950</v>
      </c>
      <c r="P13" s="49">
        <v>590.03</v>
      </c>
      <c r="Q13" s="49">
        <v>359.97</v>
      </c>
      <c r="R13" s="49">
        <v>0.37890000000000001</v>
      </c>
      <c r="S13" s="49">
        <v>0.62109999999999999</v>
      </c>
      <c r="T13" s="49">
        <v>1032</v>
      </c>
      <c r="U13" s="49">
        <v>1.2056</v>
      </c>
      <c r="V13" s="49">
        <v>0</v>
      </c>
      <c r="W13" s="50">
        <v>0</v>
      </c>
      <c r="X13" s="43"/>
      <c r="Y13" s="43"/>
      <c r="Z13" s="43"/>
      <c r="AA13" s="43"/>
      <c r="AB13" s="43"/>
      <c r="AC13" s="43"/>
    </row>
    <row r="14" spans="1:29" x14ac:dyDescent="0.3">
      <c r="A14" s="43"/>
      <c r="B14" s="45" t="s">
        <v>152</v>
      </c>
      <c r="C14" s="48">
        <v>45361</v>
      </c>
      <c r="D14" s="49" t="s">
        <v>149</v>
      </c>
      <c r="E14" s="49" t="s">
        <v>70</v>
      </c>
      <c r="F14" s="49" t="s">
        <v>73</v>
      </c>
      <c r="G14" s="49" t="s">
        <v>153</v>
      </c>
      <c r="H14" s="49" t="s">
        <v>85</v>
      </c>
      <c r="I14" s="49" t="s">
        <v>80</v>
      </c>
      <c r="J14" s="49" t="s">
        <v>81</v>
      </c>
      <c r="K14" s="49">
        <v>6</v>
      </c>
      <c r="L14" s="49">
        <v>60</v>
      </c>
      <c r="M14" s="49">
        <v>0.05</v>
      </c>
      <c r="N14" s="49">
        <v>360</v>
      </c>
      <c r="O14" s="49">
        <v>342</v>
      </c>
      <c r="P14" s="49">
        <v>226.89</v>
      </c>
      <c r="Q14" s="49">
        <v>115.11</v>
      </c>
      <c r="R14" s="49">
        <v>0.33660000000000001</v>
      </c>
      <c r="S14" s="49">
        <v>0.66339999999999999</v>
      </c>
      <c r="T14" s="49">
        <v>372</v>
      </c>
      <c r="U14" s="49">
        <v>0.42749999999999999</v>
      </c>
      <c r="V14" s="49">
        <v>1</v>
      </c>
      <c r="W14" s="50">
        <v>0.16669999999999999</v>
      </c>
      <c r="X14" s="43"/>
      <c r="Y14" s="43"/>
      <c r="Z14" s="43"/>
      <c r="AA14" s="43"/>
      <c r="AB14" s="43"/>
      <c r="AC14" s="43"/>
    </row>
    <row r="15" spans="1:29" x14ac:dyDescent="0.3">
      <c r="A15" s="43"/>
      <c r="B15" s="45" t="s">
        <v>154</v>
      </c>
      <c r="C15" s="48">
        <v>45521</v>
      </c>
      <c r="D15" s="49" t="s">
        <v>143</v>
      </c>
      <c r="E15" s="49" t="s">
        <v>69</v>
      </c>
      <c r="F15" s="49" t="s">
        <v>75</v>
      </c>
      <c r="G15" s="49" t="s">
        <v>147</v>
      </c>
      <c r="H15" s="49" t="s">
        <v>79</v>
      </c>
      <c r="I15" s="49" t="s">
        <v>80</v>
      </c>
      <c r="J15" s="49" t="s">
        <v>81</v>
      </c>
      <c r="K15" s="49">
        <v>3</v>
      </c>
      <c r="L15" s="49">
        <v>60</v>
      </c>
      <c r="M15" s="49">
        <v>0.1</v>
      </c>
      <c r="N15" s="49">
        <v>180</v>
      </c>
      <c r="O15" s="49">
        <v>162</v>
      </c>
      <c r="P15" s="49">
        <v>107.92</v>
      </c>
      <c r="Q15" s="49">
        <v>54.08</v>
      </c>
      <c r="R15" s="49">
        <v>0.33379999999999999</v>
      </c>
      <c r="S15" s="49">
        <v>0.66620000000000001</v>
      </c>
      <c r="T15" s="49">
        <v>173</v>
      </c>
      <c r="U15" s="49">
        <v>0.2225</v>
      </c>
      <c r="V15" s="49">
        <v>0</v>
      </c>
      <c r="W15" s="50">
        <v>0</v>
      </c>
      <c r="X15" s="43"/>
      <c r="Y15" s="43"/>
      <c r="Z15" s="43"/>
      <c r="AA15" s="43"/>
      <c r="AB15" s="43"/>
      <c r="AC15" s="43"/>
    </row>
    <row r="16" spans="1:29" x14ac:dyDescent="0.3">
      <c r="A16" s="43"/>
      <c r="B16" s="45" t="s">
        <v>155</v>
      </c>
      <c r="C16" s="48">
        <v>45882</v>
      </c>
      <c r="D16" s="49" t="s">
        <v>137</v>
      </c>
      <c r="E16" s="49" t="s">
        <v>71</v>
      </c>
      <c r="F16" s="49" t="s">
        <v>75</v>
      </c>
      <c r="G16" s="49" t="s">
        <v>153</v>
      </c>
      <c r="H16" s="49" t="s">
        <v>79</v>
      </c>
      <c r="I16" s="49" t="s">
        <v>83</v>
      </c>
      <c r="J16" s="49" t="s">
        <v>86</v>
      </c>
      <c r="K16" s="49">
        <v>4</v>
      </c>
      <c r="L16" s="49">
        <v>100</v>
      </c>
      <c r="M16" s="49">
        <v>0.15</v>
      </c>
      <c r="N16" s="49">
        <v>400</v>
      </c>
      <c r="O16" s="49">
        <v>340</v>
      </c>
      <c r="P16" s="49">
        <v>235.85</v>
      </c>
      <c r="Q16" s="49">
        <v>104.15</v>
      </c>
      <c r="R16" s="49">
        <v>0.30630000000000002</v>
      </c>
      <c r="S16" s="49">
        <v>0.69369999999999998</v>
      </c>
      <c r="T16" s="49">
        <v>365</v>
      </c>
      <c r="U16" s="49">
        <v>0.46700000000000003</v>
      </c>
      <c r="V16" s="49">
        <v>0</v>
      </c>
      <c r="W16" s="50">
        <v>0</v>
      </c>
      <c r="X16" s="43"/>
      <c r="Y16" s="43"/>
      <c r="Z16" s="43"/>
      <c r="AA16" s="43"/>
      <c r="AB16" s="43"/>
      <c r="AC16" s="43"/>
    </row>
    <row r="17" spans="1:29" x14ac:dyDescent="0.3">
      <c r="A17" s="43"/>
      <c r="B17" s="45" t="s">
        <v>156</v>
      </c>
      <c r="C17" s="48">
        <v>45848</v>
      </c>
      <c r="D17" s="49" t="s">
        <v>140</v>
      </c>
      <c r="E17" s="49" t="s">
        <v>71</v>
      </c>
      <c r="F17" s="49" t="s">
        <v>72</v>
      </c>
      <c r="G17" s="49" t="s">
        <v>147</v>
      </c>
      <c r="H17" s="49" t="s">
        <v>84</v>
      </c>
      <c r="I17" s="49" t="s">
        <v>83</v>
      </c>
      <c r="J17" s="49" t="s">
        <v>81</v>
      </c>
      <c r="K17" s="49">
        <v>5</v>
      </c>
      <c r="L17" s="49">
        <v>750</v>
      </c>
      <c r="M17" s="49">
        <v>0</v>
      </c>
      <c r="N17" s="49">
        <v>3750</v>
      </c>
      <c r="O17" s="49">
        <v>3750</v>
      </c>
      <c r="P17" s="49">
        <v>2617.46</v>
      </c>
      <c r="Q17" s="49">
        <v>1132.54</v>
      </c>
      <c r="R17" s="49">
        <v>0.30199999999999999</v>
      </c>
      <c r="S17" s="49">
        <v>0.69799999999999995</v>
      </c>
      <c r="T17" s="49">
        <v>1731</v>
      </c>
      <c r="U17" s="49">
        <v>5.5804</v>
      </c>
      <c r="V17" s="49">
        <v>0</v>
      </c>
      <c r="W17" s="50">
        <v>0</v>
      </c>
      <c r="X17" s="43"/>
      <c r="Y17" s="43"/>
      <c r="Z17" s="43"/>
      <c r="AA17" s="43"/>
      <c r="AB17" s="43"/>
      <c r="AC17" s="43"/>
    </row>
    <row r="18" spans="1:29" x14ac:dyDescent="0.3">
      <c r="A18" s="43"/>
      <c r="B18" s="45" t="s">
        <v>157</v>
      </c>
      <c r="C18" s="48">
        <v>45786</v>
      </c>
      <c r="D18" s="49" t="s">
        <v>149</v>
      </c>
      <c r="E18" s="49" t="s">
        <v>70</v>
      </c>
      <c r="F18" s="49" t="s">
        <v>75</v>
      </c>
      <c r="G18" s="49" t="s">
        <v>141</v>
      </c>
      <c r="H18" s="49" t="s">
        <v>85</v>
      </c>
      <c r="I18" s="49" t="s">
        <v>80</v>
      </c>
      <c r="J18" s="49" t="s">
        <v>81</v>
      </c>
      <c r="K18" s="49">
        <v>1</v>
      </c>
      <c r="L18" s="49">
        <v>25</v>
      </c>
      <c r="M18" s="49">
        <v>0.08</v>
      </c>
      <c r="N18" s="49">
        <v>25</v>
      </c>
      <c r="O18" s="49">
        <v>23</v>
      </c>
      <c r="P18" s="49">
        <v>15.33</v>
      </c>
      <c r="Q18" s="49">
        <v>7.67</v>
      </c>
      <c r="R18" s="49">
        <v>0.33350000000000002</v>
      </c>
      <c r="S18" s="49">
        <v>0.66649999999999998</v>
      </c>
      <c r="T18" s="49">
        <v>25</v>
      </c>
      <c r="U18" s="49">
        <v>3.3700000000000001E-2</v>
      </c>
      <c r="V18" s="49">
        <v>0</v>
      </c>
      <c r="W18" s="50">
        <v>0</v>
      </c>
      <c r="X18" s="43"/>
      <c r="Y18" s="43"/>
      <c r="Z18" s="43"/>
      <c r="AA18" s="43"/>
      <c r="AB18" s="43"/>
      <c r="AC18" s="43"/>
    </row>
    <row r="19" spans="1:29" x14ac:dyDescent="0.3">
      <c r="A19" s="43"/>
      <c r="B19" s="45" t="s">
        <v>158</v>
      </c>
      <c r="C19" s="48">
        <v>45911</v>
      </c>
      <c r="D19" s="49" t="s">
        <v>151</v>
      </c>
      <c r="E19" s="49" t="s">
        <v>70</v>
      </c>
      <c r="F19" s="49" t="s">
        <v>75</v>
      </c>
      <c r="G19" s="49" t="s">
        <v>153</v>
      </c>
      <c r="H19" s="49" t="s">
        <v>84</v>
      </c>
      <c r="I19" s="49" t="s">
        <v>83</v>
      </c>
      <c r="J19" s="49" t="s">
        <v>81</v>
      </c>
      <c r="K19" s="49">
        <v>3</v>
      </c>
      <c r="L19" s="49">
        <v>100</v>
      </c>
      <c r="M19" s="49">
        <v>0.03</v>
      </c>
      <c r="N19" s="49">
        <v>300</v>
      </c>
      <c r="O19" s="49">
        <v>291</v>
      </c>
      <c r="P19" s="49">
        <v>145.88999999999999</v>
      </c>
      <c r="Q19" s="49">
        <v>145.11000000000001</v>
      </c>
      <c r="R19" s="49">
        <v>0.49869999999999998</v>
      </c>
      <c r="S19" s="49">
        <v>0.50129999999999997</v>
      </c>
      <c r="T19" s="49">
        <v>352</v>
      </c>
      <c r="U19" s="49">
        <v>0.3997</v>
      </c>
      <c r="V19" s="49">
        <v>0</v>
      </c>
      <c r="W19" s="50">
        <v>0</v>
      </c>
      <c r="X19" s="43"/>
      <c r="Y19" s="43"/>
      <c r="Z19" s="43"/>
      <c r="AA19" s="43"/>
      <c r="AB19" s="43"/>
      <c r="AC19" s="43"/>
    </row>
    <row r="20" spans="1:29" x14ac:dyDescent="0.3">
      <c r="A20" s="43"/>
      <c r="B20" s="45" t="s">
        <v>159</v>
      </c>
      <c r="C20" s="48">
        <v>45933</v>
      </c>
      <c r="D20" s="49" t="s">
        <v>151</v>
      </c>
      <c r="E20" s="49" t="s">
        <v>70</v>
      </c>
      <c r="F20" s="49" t="s">
        <v>75</v>
      </c>
      <c r="G20" s="49" t="s">
        <v>141</v>
      </c>
      <c r="H20" s="49" t="s">
        <v>85</v>
      </c>
      <c r="I20" s="49" t="s">
        <v>83</v>
      </c>
      <c r="J20" s="49" t="s">
        <v>81</v>
      </c>
      <c r="K20" s="49">
        <v>8</v>
      </c>
      <c r="L20" s="49">
        <v>25</v>
      </c>
      <c r="M20" s="49">
        <v>0</v>
      </c>
      <c r="N20" s="49">
        <v>200</v>
      </c>
      <c r="O20" s="49">
        <v>200</v>
      </c>
      <c r="P20" s="49">
        <v>139.47999999999999</v>
      </c>
      <c r="Q20" s="49">
        <v>60.52</v>
      </c>
      <c r="R20" s="49">
        <v>0.30259999999999998</v>
      </c>
      <c r="S20" s="49">
        <v>0.69740000000000002</v>
      </c>
      <c r="T20" s="49">
        <v>213</v>
      </c>
      <c r="U20" s="49">
        <v>0.25640000000000002</v>
      </c>
      <c r="V20" s="49">
        <v>0</v>
      </c>
      <c r="W20" s="50">
        <v>0</v>
      </c>
      <c r="X20" s="43"/>
      <c r="Y20" s="43"/>
      <c r="Z20" s="43"/>
      <c r="AA20" s="43"/>
      <c r="AB20" s="43"/>
      <c r="AC20" s="43"/>
    </row>
    <row r="21" spans="1:29" x14ac:dyDescent="0.3">
      <c r="A21" s="43"/>
      <c r="B21" s="45" t="s">
        <v>160</v>
      </c>
      <c r="C21" s="48">
        <v>45370</v>
      </c>
      <c r="D21" s="49" t="s">
        <v>161</v>
      </c>
      <c r="E21" s="49" t="s">
        <v>68</v>
      </c>
      <c r="F21" s="49" t="s">
        <v>75</v>
      </c>
      <c r="G21" s="49" t="s">
        <v>147</v>
      </c>
      <c r="H21" s="49" t="s">
        <v>84</v>
      </c>
      <c r="I21" s="49" t="s">
        <v>80</v>
      </c>
      <c r="J21" s="49" t="s">
        <v>86</v>
      </c>
      <c r="K21" s="49">
        <v>1</v>
      </c>
      <c r="L21" s="49">
        <v>300</v>
      </c>
      <c r="M21" s="49">
        <v>0</v>
      </c>
      <c r="N21" s="49">
        <v>300</v>
      </c>
      <c r="O21" s="49">
        <v>300</v>
      </c>
      <c r="P21" s="49">
        <v>152.56</v>
      </c>
      <c r="Q21" s="49">
        <v>147.44</v>
      </c>
      <c r="R21" s="49">
        <v>0.49149999999999999</v>
      </c>
      <c r="S21" s="49">
        <v>0.50849999999999995</v>
      </c>
      <c r="T21" s="49">
        <v>224</v>
      </c>
      <c r="U21" s="49">
        <v>0.46150000000000002</v>
      </c>
      <c r="V21" s="49">
        <v>0</v>
      </c>
      <c r="W21" s="50">
        <v>0</v>
      </c>
      <c r="X21" s="43"/>
      <c r="Y21" s="43"/>
      <c r="Z21" s="43"/>
      <c r="AA21" s="43"/>
      <c r="AB21" s="43"/>
      <c r="AC21" s="43"/>
    </row>
    <row r="22" spans="1:29" x14ac:dyDescent="0.3">
      <c r="A22" s="43"/>
      <c r="B22" s="45" t="s">
        <v>162</v>
      </c>
      <c r="C22" s="48">
        <v>46003</v>
      </c>
      <c r="D22" s="49" t="s">
        <v>137</v>
      </c>
      <c r="E22" s="49" t="s">
        <v>71</v>
      </c>
      <c r="F22" s="49" t="s">
        <v>75</v>
      </c>
      <c r="G22" s="49" t="s">
        <v>147</v>
      </c>
      <c r="H22" s="49" t="s">
        <v>84</v>
      </c>
      <c r="I22" s="49" t="s">
        <v>83</v>
      </c>
      <c r="J22" s="49" t="s">
        <v>81</v>
      </c>
      <c r="K22" s="49">
        <v>4</v>
      </c>
      <c r="L22" s="49">
        <v>25</v>
      </c>
      <c r="M22" s="49">
        <v>0.03</v>
      </c>
      <c r="N22" s="49">
        <v>100</v>
      </c>
      <c r="O22" s="49">
        <v>97</v>
      </c>
      <c r="P22" s="49">
        <v>69.430000000000007</v>
      </c>
      <c r="Q22" s="49">
        <v>27.57</v>
      </c>
      <c r="R22" s="49">
        <v>0.28420000000000001</v>
      </c>
      <c r="S22" s="49">
        <v>0.71579999999999999</v>
      </c>
      <c r="T22" s="49">
        <v>160</v>
      </c>
      <c r="U22" s="49">
        <v>0.1244</v>
      </c>
      <c r="V22" s="49">
        <v>0</v>
      </c>
      <c r="W22" s="50">
        <v>0</v>
      </c>
      <c r="X22" s="43"/>
      <c r="Y22" s="43"/>
      <c r="Z22" s="43"/>
      <c r="AA22" s="43"/>
      <c r="AB22" s="43"/>
      <c r="AC22" s="43"/>
    </row>
    <row r="23" spans="1:29" x14ac:dyDescent="0.3">
      <c r="A23" s="43"/>
      <c r="B23" s="45" t="s">
        <v>163</v>
      </c>
      <c r="C23" s="48">
        <v>46013</v>
      </c>
      <c r="D23" s="49" t="s">
        <v>143</v>
      </c>
      <c r="E23" s="49" t="s">
        <v>69</v>
      </c>
      <c r="F23" s="49" t="s">
        <v>76</v>
      </c>
      <c r="G23" s="49" t="s">
        <v>138</v>
      </c>
      <c r="H23" s="49" t="s">
        <v>84</v>
      </c>
      <c r="I23" s="49" t="s">
        <v>83</v>
      </c>
      <c r="J23" s="49" t="s">
        <v>86</v>
      </c>
      <c r="K23" s="49">
        <v>7</v>
      </c>
      <c r="L23" s="49">
        <v>750</v>
      </c>
      <c r="M23" s="49">
        <v>0</v>
      </c>
      <c r="N23" s="49">
        <v>5250</v>
      </c>
      <c r="O23" s="49">
        <v>5250</v>
      </c>
      <c r="P23" s="49">
        <v>3660.29</v>
      </c>
      <c r="Q23" s="49">
        <v>1589.71</v>
      </c>
      <c r="R23" s="49">
        <v>0.30280000000000001</v>
      </c>
      <c r="S23" s="49">
        <v>0.69720000000000004</v>
      </c>
      <c r="T23" s="49">
        <v>6192</v>
      </c>
      <c r="U23" s="49">
        <v>4.8611000000000004</v>
      </c>
      <c r="V23" s="49">
        <v>1</v>
      </c>
      <c r="W23" s="50">
        <v>0.1429</v>
      </c>
      <c r="X23" s="43"/>
      <c r="Y23" s="43"/>
      <c r="Z23" s="43"/>
      <c r="AA23" s="43"/>
      <c r="AB23" s="43"/>
      <c r="AC23" s="43"/>
    </row>
    <row r="24" spans="1:29" x14ac:dyDescent="0.3">
      <c r="A24" s="43"/>
      <c r="B24" s="45" t="s">
        <v>164</v>
      </c>
      <c r="C24" s="48">
        <v>45324</v>
      </c>
      <c r="D24" s="49" t="s">
        <v>151</v>
      </c>
      <c r="E24" s="49" t="s">
        <v>70</v>
      </c>
      <c r="F24" s="49" t="s">
        <v>76</v>
      </c>
      <c r="G24" s="49" t="s">
        <v>147</v>
      </c>
      <c r="H24" s="49" t="s">
        <v>84</v>
      </c>
      <c r="I24" s="49" t="s">
        <v>80</v>
      </c>
      <c r="J24" s="49" t="s">
        <v>86</v>
      </c>
      <c r="K24" s="49">
        <v>3</v>
      </c>
      <c r="L24" s="49">
        <v>500</v>
      </c>
      <c r="M24" s="49">
        <v>0.05</v>
      </c>
      <c r="N24" s="49">
        <v>1500</v>
      </c>
      <c r="O24" s="49">
        <v>1425</v>
      </c>
      <c r="P24" s="49">
        <v>848.36</v>
      </c>
      <c r="Q24" s="49">
        <v>576.64</v>
      </c>
      <c r="R24" s="49">
        <v>0.4047</v>
      </c>
      <c r="S24" s="49">
        <v>0.59530000000000005</v>
      </c>
      <c r="T24" s="49">
        <v>1461</v>
      </c>
      <c r="U24" s="49">
        <v>1.5832999999999999</v>
      </c>
      <c r="V24" s="49">
        <v>0</v>
      </c>
      <c r="W24" s="50">
        <v>0</v>
      </c>
      <c r="X24" s="43"/>
      <c r="Y24" s="43"/>
      <c r="Z24" s="43"/>
      <c r="AA24" s="43"/>
      <c r="AB24" s="43"/>
      <c r="AC24" s="43"/>
    </row>
    <row r="25" spans="1:29" x14ac:dyDescent="0.3">
      <c r="A25" s="43"/>
      <c r="B25" s="45" t="s">
        <v>165</v>
      </c>
      <c r="C25" s="48">
        <v>45402</v>
      </c>
      <c r="D25" s="49" t="s">
        <v>137</v>
      </c>
      <c r="E25" s="49" t="s">
        <v>71</v>
      </c>
      <c r="F25" s="49" t="s">
        <v>75</v>
      </c>
      <c r="G25" s="49" t="s">
        <v>147</v>
      </c>
      <c r="H25" s="49" t="s">
        <v>84</v>
      </c>
      <c r="I25" s="49" t="s">
        <v>83</v>
      </c>
      <c r="J25" s="49" t="s">
        <v>86</v>
      </c>
      <c r="K25" s="49">
        <v>4</v>
      </c>
      <c r="L25" s="49">
        <v>40</v>
      </c>
      <c r="M25" s="49">
        <v>0</v>
      </c>
      <c r="N25" s="49">
        <v>160</v>
      </c>
      <c r="O25" s="49">
        <v>160</v>
      </c>
      <c r="P25" s="49">
        <v>76.47</v>
      </c>
      <c r="Q25" s="49">
        <v>83.53</v>
      </c>
      <c r="R25" s="49">
        <v>0.52210000000000001</v>
      </c>
      <c r="S25" s="49">
        <v>0.47789999999999999</v>
      </c>
      <c r="T25" s="49">
        <v>174</v>
      </c>
      <c r="U25" s="49">
        <v>0.2346</v>
      </c>
      <c r="V25" s="49">
        <v>0</v>
      </c>
      <c r="W25" s="50">
        <v>0</v>
      </c>
      <c r="X25" s="43"/>
      <c r="Y25" s="43"/>
      <c r="Z25" s="43"/>
      <c r="AA25" s="43"/>
      <c r="AB25" s="43"/>
      <c r="AC25" s="43"/>
    </row>
    <row r="26" spans="1:29" x14ac:dyDescent="0.3">
      <c r="A26" s="43"/>
      <c r="B26" s="45" t="s">
        <v>166</v>
      </c>
      <c r="C26" s="48">
        <v>45738</v>
      </c>
      <c r="D26" s="49" t="s">
        <v>137</v>
      </c>
      <c r="E26" s="49" t="s">
        <v>71</v>
      </c>
      <c r="F26" s="49" t="s">
        <v>75</v>
      </c>
      <c r="G26" s="49" t="s">
        <v>138</v>
      </c>
      <c r="H26" s="49" t="s">
        <v>84</v>
      </c>
      <c r="I26" s="49" t="s">
        <v>80</v>
      </c>
      <c r="J26" s="49" t="s">
        <v>81</v>
      </c>
      <c r="K26" s="49">
        <v>3</v>
      </c>
      <c r="L26" s="49">
        <v>200</v>
      </c>
      <c r="M26" s="49">
        <v>0.1</v>
      </c>
      <c r="N26" s="49">
        <v>600</v>
      </c>
      <c r="O26" s="49">
        <v>540</v>
      </c>
      <c r="P26" s="49">
        <v>372.32</v>
      </c>
      <c r="Q26" s="49">
        <v>167.68</v>
      </c>
      <c r="R26" s="49">
        <v>0.3105</v>
      </c>
      <c r="S26" s="49">
        <v>0.6895</v>
      </c>
      <c r="T26" s="49">
        <v>652</v>
      </c>
      <c r="U26" s="49">
        <v>0.83079999999999998</v>
      </c>
      <c r="V26" s="49">
        <v>1</v>
      </c>
      <c r="W26" s="50">
        <v>0.33329999999999999</v>
      </c>
      <c r="X26" s="43"/>
      <c r="Y26" s="43"/>
      <c r="Z26" s="43"/>
      <c r="AA26" s="43"/>
      <c r="AB26" s="43"/>
      <c r="AC26" s="43"/>
    </row>
    <row r="27" spans="1:29" x14ac:dyDescent="0.3">
      <c r="A27" s="43"/>
      <c r="B27" s="45" t="s">
        <v>167</v>
      </c>
      <c r="C27" s="48">
        <v>45755</v>
      </c>
      <c r="D27" s="49" t="s">
        <v>143</v>
      </c>
      <c r="E27" s="49" t="s">
        <v>69</v>
      </c>
      <c r="F27" s="49" t="s">
        <v>73</v>
      </c>
      <c r="G27" s="49" t="s">
        <v>144</v>
      </c>
      <c r="H27" s="49" t="s">
        <v>82</v>
      </c>
      <c r="I27" s="49" t="s">
        <v>83</v>
      </c>
      <c r="J27" s="49" t="s">
        <v>81</v>
      </c>
      <c r="K27" s="49">
        <v>2</v>
      </c>
      <c r="L27" s="49">
        <v>80</v>
      </c>
      <c r="M27" s="49">
        <v>0.08</v>
      </c>
      <c r="N27" s="49">
        <v>160</v>
      </c>
      <c r="O27" s="49">
        <v>147.19999999999999</v>
      </c>
      <c r="P27" s="49">
        <v>95.42</v>
      </c>
      <c r="Q27" s="49">
        <v>51.78</v>
      </c>
      <c r="R27" s="49">
        <v>0.3518</v>
      </c>
      <c r="S27" s="49">
        <v>0.6482</v>
      </c>
      <c r="T27" s="49">
        <v>247</v>
      </c>
      <c r="U27" s="49">
        <v>0.17519999999999999</v>
      </c>
      <c r="V27" s="49">
        <v>0</v>
      </c>
      <c r="W27" s="50">
        <v>0</v>
      </c>
      <c r="X27" s="43"/>
      <c r="Y27" s="43"/>
      <c r="Z27" s="43"/>
      <c r="AA27" s="43"/>
      <c r="AB27" s="43"/>
      <c r="AC27" s="43"/>
    </row>
    <row r="28" spans="1:29" x14ac:dyDescent="0.3">
      <c r="A28" s="43"/>
      <c r="B28" s="45" t="s">
        <v>168</v>
      </c>
      <c r="C28" s="48">
        <v>45330</v>
      </c>
      <c r="D28" s="49" t="s">
        <v>143</v>
      </c>
      <c r="E28" s="49" t="s">
        <v>69</v>
      </c>
      <c r="F28" s="49" t="s">
        <v>73</v>
      </c>
      <c r="G28" s="49" t="s">
        <v>138</v>
      </c>
      <c r="H28" s="49" t="s">
        <v>84</v>
      </c>
      <c r="I28" s="49" t="s">
        <v>83</v>
      </c>
      <c r="J28" s="49" t="s">
        <v>81</v>
      </c>
      <c r="K28" s="49">
        <v>5</v>
      </c>
      <c r="L28" s="49">
        <v>150</v>
      </c>
      <c r="M28" s="49">
        <v>0</v>
      </c>
      <c r="N28" s="49">
        <v>750</v>
      </c>
      <c r="O28" s="49">
        <v>750</v>
      </c>
      <c r="P28" s="49">
        <v>568.4</v>
      </c>
      <c r="Q28" s="49">
        <v>181.6</v>
      </c>
      <c r="R28" s="49">
        <v>0.24210000000000001</v>
      </c>
      <c r="S28" s="49">
        <v>0.75790000000000002</v>
      </c>
      <c r="T28" s="49">
        <v>1136</v>
      </c>
      <c r="U28" s="49">
        <v>0.9375</v>
      </c>
      <c r="V28" s="49">
        <v>1</v>
      </c>
      <c r="W28" s="50">
        <v>0.2</v>
      </c>
      <c r="X28" s="43"/>
      <c r="Y28" s="43"/>
      <c r="Z28" s="43"/>
      <c r="AA28" s="43"/>
      <c r="AB28" s="43"/>
      <c r="AC28" s="43"/>
    </row>
    <row r="29" spans="1:29" x14ac:dyDescent="0.3">
      <c r="A29" s="43"/>
      <c r="B29" s="45" t="s">
        <v>169</v>
      </c>
      <c r="C29" s="48">
        <v>45754</v>
      </c>
      <c r="D29" s="49" t="s">
        <v>143</v>
      </c>
      <c r="E29" s="49" t="s">
        <v>69</v>
      </c>
      <c r="F29" s="49" t="s">
        <v>76</v>
      </c>
      <c r="G29" s="49" t="s">
        <v>147</v>
      </c>
      <c r="H29" s="49" t="s">
        <v>79</v>
      </c>
      <c r="I29" s="49" t="s">
        <v>83</v>
      </c>
      <c r="J29" s="49" t="s">
        <v>86</v>
      </c>
      <c r="K29" s="49">
        <v>2</v>
      </c>
      <c r="L29" s="49">
        <v>40</v>
      </c>
      <c r="M29" s="49">
        <v>0.03</v>
      </c>
      <c r="N29" s="49">
        <v>80</v>
      </c>
      <c r="O29" s="49">
        <v>77.599999999999994</v>
      </c>
      <c r="P29" s="49">
        <v>41.12</v>
      </c>
      <c r="Q29" s="49">
        <v>36.479999999999997</v>
      </c>
      <c r="R29" s="49">
        <v>0.47010000000000002</v>
      </c>
      <c r="S29" s="49">
        <v>0.52990000000000004</v>
      </c>
      <c r="T29" s="49">
        <v>83</v>
      </c>
      <c r="U29" s="49">
        <v>8.2100000000000006E-2</v>
      </c>
      <c r="V29" s="49">
        <v>1</v>
      </c>
      <c r="W29" s="50">
        <v>0.5</v>
      </c>
      <c r="X29" s="43"/>
      <c r="Y29" s="43"/>
      <c r="Z29" s="43"/>
      <c r="AA29" s="43"/>
      <c r="AB29" s="43"/>
      <c r="AC29" s="43"/>
    </row>
    <row r="30" spans="1:29" x14ac:dyDescent="0.3">
      <c r="A30" s="43"/>
      <c r="B30" s="45" t="s">
        <v>170</v>
      </c>
      <c r="C30" s="48">
        <v>45448</v>
      </c>
      <c r="D30" s="49" t="s">
        <v>151</v>
      </c>
      <c r="E30" s="49" t="s">
        <v>70</v>
      </c>
      <c r="F30" s="49" t="s">
        <v>76</v>
      </c>
      <c r="G30" s="49" t="s">
        <v>153</v>
      </c>
      <c r="H30" s="49" t="s">
        <v>84</v>
      </c>
      <c r="I30" s="49" t="s">
        <v>80</v>
      </c>
      <c r="J30" s="49" t="s">
        <v>81</v>
      </c>
      <c r="K30" s="49">
        <v>6</v>
      </c>
      <c r="L30" s="49">
        <v>200</v>
      </c>
      <c r="M30" s="49">
        <v>0.05</v>
      </c>
      <c r="N30" s="49">
        <v>1200</v>
      </c>
      <c r="O30" s="49">
        <v>1140</v>
      </c>
      <c r="P30" s="49">
        <v>667.1</v>
      </c>
      <c r="Q30" s="49">
        <v>472.9</v>
      </c>
      <c r="R30" s="49">
        <v>0.4148</v>
      </c>
      <c r="S30" s="49">
        <v>0.58520000000000005</v>
      </c>
      <c r="T30" s="49">
        <v>1411</v>
      </c>
      <c r="U30" s="49">
        <v>1.2062999999999999</v>
      </c>
      <c r="V30" s="49">
        <v>0</v>
      </c>
      <c r="W30" s="50">
        <v>0</v>
      </c>
      <c r="X30" s="43"/>
      <c r="Y30" s="43"/>
      <c r="Z30" s="43"/>
      <c r="AA30" s="43"/>
      <c r="AB30" s="43"/>
      <c r="AC30" s="43"/>
    </row>
    <row r="31" spans="1:29" x14ac:dyDescent="0.3">
      <c r="A31" s="43"/>
      <c r="B31" s="45" t="s">
        <v>171</v>
      </c>
      <c r="C31" s="48">
        <v>45945</v>
      </c>
      <c r="D31" s="49" t="s">
        <v>137</v>
      </c>
      <c r="E31" s="49" t="s">
        <v>71</v>
      </c>
      <c r="F31" s="49" t="s">
        <v>72</v>
      </c>
      <c r="G31" s="49" t="s">
        <v>138</v>
      </c>
      <c r="H31" s="49" t="s">
        <v>84</v>
      </c>
      <c r="I31" s="49" t="s">
        <v>80</v>
      </c>
      <c r="J31" s="49" t="s">
        <v>81</v>
      </c>
      <c r="K31" s="49">
        <v>4</v>
      </c>
      <c r="L31" s="49">
        <v>25</v>
      </c>
      <c r="M31" s="49">
        <v>0</v>
      </c>
      <c r="N31" s="49">
        <v>100</v>
      </c>
      <c r="O31" s="49">
        <v>100</v>
      </c>
      <c r="P31" s="49">
        <v>76.290000000000006</v>
      </c>
      <c r="Q31" s="49">
        <v>23.71</v>
      </c>
      <c r="R31" s="49">
        <v>0.23710000000000001</v>
      </c>
      <c r="S31" s="49">
        <v>0.76290000000000002</v>
      </c>
      <c r="T31" s="49">
        <v>135</v>
      </c>
      <c r="U31" s="49">
        <v>0.1389</v>
      </c>
      <c r="V31" s="49">
        <v>0</v>
      </c>
      <c r="W31" s="50">
        <v>0</v>
      </c>
      <c r="X31" s="43"/>
      <c r="Y31" s="43"/>
      <c r="Z31" s="43"/>
      <c r="AA31" s="43"/>
      <c r="AB31" s="43"/>
      <c r="AC31" s="43"/>
    </row>
    <row r="32" spans="1:29" x14ac:dyDescent="0.3">
      <c r="A32" s="43"/>
      <c r="B32" s="45" t="s">
        <v>172</v>
      </c>
      <c r="C32" s="48">
        <v>45757</v>
      </c>
      <c r="D32" s="49" t="s">
        <v>143</v>
      </c>
      <c r="E32" s="49" t="s">
        <v>69</v>
      </c>
      <c r="F32" s="49" t="s">
        <v>74</v>
      </c>
      <c r="G32" s="49" t="s">
        <v>138</v>
      </c>
      <c r="H32" s="49" t="s">
        <v>79</v>
      </c>
      <c r="I32" s="49" t="s">
        <v>83</v>
      </c>
      <c r="J32" s="49" t="s">
        <v>86</v>
      </c>
      <c r="K32" s="49">
        <v>3</v>
      </c>
      <c r="L32" s="49">
        <v>200</v>
      </c>
      <c r="M32" s="49">
        <v>0.05</v>
      </c>
      <c r="N32" s="49">
        <v>600</v>
      </c>
      <c r="O32" s="49">
        <v>570</v>
      </c>
      <c r="P32" s="49">
        <v>261.08999999999997</v>
      </c>
      <c r="Q32" s="49">
        <v>308.91000000000003</v>
      </c>
      <c r="R32" s="49">
        <v>0.54190000000000005</v>
      </c>
      <c r="S32" s="49">
        <v>0.45810000000000001</v>
      </c>
      <c r="T32" s="49">
        <v>587</v>
      </c>
      <c r="U32" s="49">
        <v>0.72340000000000004</v>
      </c>
      <c r="V32" s="49">
        <v>0</v>
      </c>
      <c r="W32" s="50">
        <v>0</v>
      </c>
      <c r="X32" s="43"/>
      <c r="Y32" s="43"/>
      <c r="Z32" s="43"/>
      <c r="AA32" s="43"/>
      <c r="AB32" s="43"/>
      <c r="AC32" s="43"/>
    </row>
    <row r="33" spans="1:29" x14ac:dyDescent="0.3">
      <c r="A33" s="43"/>
      <c r="B33" s="45" t="s">
        <v>173</v>
      </c>
      <c r="C33" s="48">
        <v>45677</v>
      </c>
      <c r="D33" s="49" t="s">
        <v>149</v>
      </c>
      <c r="E33" s="49" t="s">
        <v>70</v>
      </c>
      <c r="F33" s="49" t="s">
        <v>75</v>
      </c>
      <c r="G33" s="49" t="s">
        <v>144</v>
      </c>
      <c r="H33" s="49" t="s">
        <v>84</v>
      </c>
      <c r="I33" s="49" t="s">
        <v>80</v>
      </c>
      <c r="J33" s="49" t="s">
        <v>81</v>
      </c>
      <c r="K33" s="49">
        <v>5</v>
      </c>
      <c r="L33" s="49">
        <v>100</v>
      </c>
      <c r="M33" s="49">
        <v>0</v>
      </c>
      <c r="N33" s="49">
        <v>500</v>
      </c>
      <c r="O33" s="49">
        <v>500</v>
      </c>
      <c r="P33" s="49">
        <v>363.28</v>
      </c>
      <c r="Q33" s="49">
        <v>136.72</v>
      </c>
      <c r="R33" s="49">
        <v>0.27339999999999998</v>
      </c>
      <c r="S33" s="49">
        <v>0.72660000000000002</v>
      </c>
      <c r="T33" s="49">
        <v>537</v>
      </c>
      <c r="U33" s="49">
        <v>0.76919999999999999</v>
      </c>
      <c r="V33" s="49">
        <v>0</v>
      </c>
      <c r="W33" s="50">
        <v>0</v>
      </c>
      <c r="X33" s="43"/>
      <c r="Y33" s="43"/>
      <c r="Z33" s="43"/>
      <c r="AA33" s="43"/>
      <c r="AB33" s="43"/>
      <c r="AC33" s="43"/>
    </row>
    <row r="34" spans="1:29" x14ac:dyDescent="0.3">
      <c r="A34" s="43"/>
      <c r="B34" s="45" t="s">
        <v>174</v>
      </c>
      <c r="C34" s="48">
        <v>45611</v>
      </c>
      <c r="D34" s="49" t="s">
        <v>137</v>
      </c>
      <c r="E34" s="49" t="s">
        <v>71</v>
      </c>
      <c r="F34" s="49" t="s">
        <v>72</v>
      </c>
      <c r="G34" s="49" t="s">
        <v>138</v>
      </c>
      <c r="H34" s="49" t="s">
        <v>84</v>
      </c>
      <c r="I34" s="49" t="s">
        <v>80</v>
      </c>
      <c r="J34" s="49" t="s">
        <v>81</v>
      </c>
      <c r="K34" s="49">
        <v>6</v>
      </c>
      <c r="L34" s="49">
        <v>25</v>
      </c>
      <c r="M34" s="49">
        <v>0.1</v>
      </c>
      <c r="N34" s="49">
        <v>150</v>
      </c>
      <c r="O34" s="49">
        <v>135</v>
      </c>
      <c r="P34" s="49">
        <v>93.09</v>
      </c>
      <c r="Q34" s="49">
        <v>41.91</v>
      </c>
      <c r="R34" s="49">
        <v>0.31040000000000001</v>
      </c>
      <c r="S34" s="49">
        <v>0.68959999999999999</v>
      </c>
      <c r="T34" s="49">
        <v>221</v>
      </c>
      <c r="U34" s="49">
        <v>0.1875</v>
      </c>
      <c r="V34" s="49">
        <v>0</v>
      </c>
      <c r="W34" s="50">
        <v>0</v>
      </c>
      <c r="X34" s="43"/>
      <c r="Y34" s="43"/>
      <c r="Z34" s="43"/>
      <c r="AA34" s="43"/>
      <c r="AB34" s="43"/>
      <c r="AC34" s="43"/>
    </row>
    <row r="35" spans="1:29" x14ac:dyDescent="0.3">
      <c r="A35" s="43"/>
      <c r="B35" s="45" t="s">
        <v>175</v>
      </c>
      <c r="C35" s="48">
        <v>45775</v>
      </c>
      <c r="D35" s="49" t="s">
        <v>151</v>
      </c>
      <c r="E35" s="49" t="s">
        <v>70</v>
      </c>
      <c r="F35" s="49" t="s">
        <v>74</v>
      </c>
      <c r="G35" s="49" t="s">
        <v>153</v>
      </c>
      <c r="H35" s="49" t="s">
        <v>79</v>
      </c>
      <c r="I35" s="49" t="s">
        <v>83</v>
      </c>
      <c r="J35" s="49" t="s">
        <v>81</v>
      </c>
      <c r="K35" s="49">
        <v>4</v>
      </c>
      <c r="L35" s="49">
        <v>200</v>
      </c>
      <c r="M35" s="49">
        <v>0.15</v>
      </c>
      <c r="N35" s="49">
        <v>800</v>
      </c>
      <c r="O35" s="49">
        <v>680</v>
      </c>
      <c r="P35" s="49">
        <v>431.09</v>
      </c>
      <c r="Q35" s="49">
        <v>248.91</v>
      </c>
      <c r="R35" s="49">
        <v>0.36599999999999999</v>
      </c>
      <c r="S35" s="49">
        <v>0.63400000000000001</v>
      </c>
      <c r="T35" s="49">
        <v>723</v>
      </c>
      <c r="U35" s="49">
        <v>0.8629</v>
      </c>
      <c r="V35" s="49">
        <v>1</v>
      </c>
      <c r="W35" s="50">
        <v>0.25</v>
      </c>
      <c r="X35" s="43"/>
      <c r="Y35" s="43"/>
      <c r="Z35" s="43"/>
      <c r="AA35" s="43"/>
      <c r="AB35" s="43"/>
      <c r="AC35" s="43"/>
    </row>
    <row r="36" spans="1:29" x14ac:dyDescent="0.3">
      <c r="A36" s="43"/>
      <c r="B36" s="45" t="s">
        <v>176</v>
      </c>
      <c r="C36" s="48">
        <v>46001</v>
      </c>
      <c r="D36" s="49" t="s">
        <v>151</v>
      </c>
      <c r="E36" s="49" t="s">
        <v>70</v>
      </c>
      <c r="F36" s="49" t="s">
        <v>72</v>
      </c>
      <c r="G36" s="49" t="s">
        <v>153</v>
      </c>
      <c r="H36" s="49" t="s">
        <v>84</v>
      </c>
      <c r="I36" s="49" t="s">
        <v>83</v>
      </c>
      <c r="J36" s="49" t="s">
        <v>81</v>
      </c>
      <c r="K36" s="49">
        <v>5</v>
      </c>
      <c r="L36" s="49">
        <v>60</v>
      </c>
      <c r="M36" s="49">
        <v>0.05</v>
      </c>
      <c r="N36" s="49">
        <v>300</v>
      </c>
      <c r="O36" s="49">
        <v>285</v>
      </c>
      <c r="P36" s="49">
        <v>173.06</v>
      </c>
      <c r="Q36" s="49">
        <v>111.94</v>
      </c>
      <c r="R36" s="49">
        <v>0.39279999999999998</v>
      </c>
      <c r="S36" s="49">
        <v>0.60719999999999996</v>
      </c>
      <c r="T36" s="49">
        <v>248</v>
      </c>
      <c r="U36" s="49">
        <v>0.39579999999999999</v>
      </c>
      <c r="V36" s="49">
        <v>0</v>
      </c>
      <c r="W36" s="50">
        <v>0</v>
      </c>
      <c r="X36" s="43"/>
      <c r="Y36" s="43"/>
      <c r="Z36" s="43"/>
      <c r="AA36" s="43"/>
      <c r="AB36" s="43"/>
      <c r="AC36" s="43"/>
    </row>
    <row r="37" spans="1:29" x14ac:dyDescent="0.3">
      <c r="A37" s="43"/>
      <c r="B37" s="45" t="s">
        <v>177</v>
      </c>
      <c r="C37" s="48">
        <v>45363</v>
      </c>
      <c r="D37" s="49" t="s">
        <v>151</v>
      </c>
      <c r="E37" s="49" t="s">
        <v>70</v>
      </c>
      <c r="F37" s="49" t="s">
        <v>72</v>
      </c>
      <c r="G37" s="49" t="s">
        <v>153</v>
      </c>
      <c r="H37" s="49" t="s">
        <v>79</v>
      </c>
      <c r="I37" s="49" t="s">
        <v>80</v>
      </c>
      <c r="J37" s="49" t="s">
        <v>81</v>
      </c>
      <c r="K37" s="49">
        <v>5</v>
      </c>
      <c r="L37" s="49">
        <v>60</v>
      </c>
      <c r="M37" s="49">
        <v>0</v>
      </c>
      <c r="N37" s="49">
        <v>300</v>
      </c>
      <c r="O37" s="49">
        <v>300</v>
      </c>
      <c r="P37" s="49">
        <v>183.94</v>
      </c>
      <c r="Q37" s="49">
        <v>116.06</v>
      </c>
      <c r="R37" s="49">
        <v>0.38690000000000002</v>
      </c>
      <c r="S37" s="49">
        <v>0.61309999999999998</v>
      </c>
      <c r="T37" s="49">
        <v>319</v>
      </c>
      <c r="U37" s="49">
        <v>0.5</v>
      </c>
      <c r="V37" s="49">
        <v>0</v>
      </c>
      <c r="W37" s="50">
        <v>0</v>
      </c>
      <c r="X37" s="43"/>
      <c r="Y37" s="43"/>
      <c r="Z37" s="43"/>
      <c r="AA37" s="43"/>
      <c r="AB37" s="43"/>
      <c r="AC37" s="43"/>
    </row>
    <row r="38" spans="1:29" x14ac:dyDescent="0.3">
      <c r="A38" s="43"/>
      <c r="B38" s="45" t="s">
        <v>178</v>
      </c>
      <c r="C38" s="48">
        <v>45361</v>
      </c>
      <c r="D38" s="49" t="s">
        <v>140</v>
      </c>
      <c r="E38" s="49" t="s">
        <v>71</v>
      </c>
      <c r="F38" s="49" t="s">
        <v>75</v>
      </c>
      <c r="G38" s="49" t="s">
        <v>138</v>
      </c>
      <c r="H38" s="49" t="s">
        <v>79</v>
      </c>
      <c r="I38" s="49" t="s">
        <v>83</v>
      </c>
      <c r="J38" s="49" t="s">
        <v>81</v>
      </c>
      <c r="K38" s="49">
        <v>5</v>
      </c>
      <c r="L38" s="49">
        <v>200</v>
      </c>
      <c r="M38" s="49">
        <v>0.1</v>
      </c>
      <c r="N38" s="49">
        <v>1000</v>
      </c>
      <c r="O38" s="49">
        <v>900</v>
      </c>
      <c r="P38" s="49">
        <v>581.55999999999995</v>
      </c>
      <c r="Q38" s="49">
        <v>318.44</v>
      </c>
      <c r="R38" s="49">
        <v>0.3538</v>
      </c>
      <c r="S38" s="49">
        <v>0.6462</v>
      </c>
      <c r="T38" s="49">
        <v>1388</v>
      </c>
      <c r="U38" s="49">
        <v>1.3846000000000001</v>
      </c>
      <c r="V38" s="49">
        <v>0</v>
      </c>
      <c r="W38" s="50">
        <v>0</v>
      </c>
      <c r="X38" s="43"/>
      <c r="Y38" s="43"/>
      <c r="Z38" s="43"/>
      <c r="AA38" s="43"/>
      <c r="AB38" s="43"/>
      <c r="AC38" s="43"/>
    </row>
    <row r="39" spans="1:29" x14ac:dyDescent="0.3">
      <c r="A39" s="43"/>
      <c r="B39" s="45" t="s">
        <v>179</v>
      </c>
      <c r="C39" s="48">
        <v>45403</v>
      </c>
      <c r="D39" s="49" t="s">
        <v>151</v>
      </c>
      <c r="E39" s="49" t="s">
        <v>70</v>
      </c>
      <c r="F39" s="49" t="s">
        <v>72</v>
      </c>
      <c r="G39" s="49" t="s">
        <v>153</v>
      </c>
      <c r="H39" s="49" t="s">
        <v>82</v>
      </c>
      <c r="I39" s="49" t="s">
        <v>83</v>
      </c>
      <c r="J39" s="49" t="s">
        <v>81</v>
      </c>
      <c r="K39" s="49">
        <v>5</v>
      </c>
      <c r="L39" s="49">
        <v>750</v>
      </c>
      <c r="M39" s="49">
        <v>0</v>
      </c>
      <c r="N39" s="49">
        <v>3750</v>
      </c>
      <c r="O39" s="49">
        <v>3750</v>
      </c>
      <c r="P39" s="49">
        <v>2170.9899999999998</v>
      </c>
      <c r="Q39" s="49">
        <v>1579.01</v>
      </c>
      <c r="R39" s="49">
        <v>0.42109999999999997</v>
      </c>
      <c r="S39" s="49">
        <v>0.57889999999999997</v>
      </c>
      <c r="T39" s="49">
        <v>3936</v>
      </c>
      <c r="U39" s="49">
        <v>5.9523999999999999</v>
      </c>
      <c r="V39" s="49">
        <v>1</v>
      </c>
      <c r="W39" s="50">
        <v>0.2</v>
      </c>
      <c r="X39" s="43"/>
      <c r="Y39" s="43"/>
      <c r="Z39" s="43"/>
      <c r="AA39" s="43"/>
      <c r="AB39" s="43"/>
      <c r="AC39" s="43"/>
    </row>
    <row r="40" spans="1:29" x14ac:dyDescent="0.3">
      <c r="A40" s="43"/>
      <c r="B40" s="45" t="s">
        <v>180</v>
      </c>
      <c r="C40" s="48">
        <v>45918</v>
      </c>
      <c r="D40" s="49" t="s">
        <v>161</v>
      </c>
      <c r="E40" s="49" t="s">
        <v>68</v>
      </c>
      <c r="F40" s="49" t="s">
        <v>73</v>
      </c>
      <c r="G40" s="49" t="s">
        <v>153</v>
      </c>
      <c r="H40" s="49" t="s">
        <v>85</v>
      </c>
      <c r="I40" s="49" t="s">
        <v>80</v>
      </c>
      <c r="J40" s="49" t="s">
        <v>81</v>
      </c>
      <c r="K40" s="49">
        <v>2</v>
      </c>
      <c r="L40" s="49">
        <v>500</v>
      </c>
      <c r="M40" s="49">
        <v>0.1</v>
      </c>
      <c r="N40" s="49">
        <v>1000</v>
      </c>
      <c r="O40" s="49">
        <v>900</v>
      </c>
      <c r="P40" s="49">
        <v>502.38</v>
      </c>
      <c r="Q40" s="49">
        <v>397.62</v>
      </c>
      <c r="R40" s="49">
        <v>0.44180000000000003</v>
      </c>
      <c r="S40" s="49">
        <v>0.55820000000000003</v>
      </c>
      <c r="T40" s="49">
        <v>966</v>
      </c>
      <c r="U40" s="49">
        <v>1.0044999999999999</v>
      </c>
      <c r="V40" s="49">
        <v>0</v>
      </c>
      <c r="W40" s="50">
        <v>0</v>
      </c>
      <c r="X40" s="43"/>
      <c r="Y40" s="43"/>
      <c r="Z40" s="43"/>
      <c r="AA40" s="43"/>
      <c r="AB40" s="43"/>
      <c r="AC40" s="43"/>
    </row>
    <row r="41" spans="1:29" x14ac:dyDescent="0.3">
      <c r="A41" s="43"/>
      <c r="B41" s="45" t="s">
        <v>181</v>
      </c>
      <c r="C41" s="48">
        <v>45695</v>
      </c>
      <c r="D41" s="49" t="s">
        <v>161</v>
      </c>
      <c r="E41" s="49" t="s">
        <v>68</v>
      </c>
      <c r="F41" s="49" t="s">
        <v>74</v>
      </c>
      <c r="G41" s="49" t="s">
        <v>141</v>
      </c>
      <c r="H41" s="49" t="s">
        <v>82</v>
      </c>
      <c r="I41" s="49" t="s">
        <v>80</v>
      </c>
      <c r="J41" s="49" t="s">
        <v>81</v>
      </c>
      <c r="K41" s="49">
        <v>4</v>
      </c>
      <c r="L41" s="49">
        <v>200</v>
      </c>
      <c r="M41" s="49">
        <v>0.05</v>
      </c>
      <c r="N41" s="49">
        <v>800</v>
      </c>
      <c r="O41" s="49">
        <v>760</v>
      </c>
      <c r="P41" s="49">
        <v>500.28</v>
      </c>
      <c r="Q41" s="49">
        <v>259.72000000000003</v>
      </c>
      <c r="R41" s="49">
        <v>0.3417</v>
      </c>
      <c r="S41" s="49">
        <v>0.6583</v>
      </c>
      <c r="T41" s="49">
        <v>818</v>
      </c>
      <c r="U41" s="49">
        <v>1.0133000000000001</v>
      </c>
      <c r="V41" s="49">
        <v>0</v>
      </c>
      <c r="W41" s="50">
        <v>0</v>
      </c>
      <c r="X41" s="43"/>
      <c r="Y41" s="43"/>
      <c r="Z41" s="43"/>
      <c r="AA41" s="43"/>
      <c r="AB41" s="43"/>
      <c r="AC41" s="43"/>
    </row>
    <row r="42" spans="1:29" x14ac:dyDescent="0.3">
      <c r="A42" s="43"/>
      <c r="B42" s="45" t="s">
        <v>182</v>
      </c>
      <c r="C42" s="48">
        <v>45558</v>
      </c>
      <c r="D42" s="49" t="s">
        <v>149</v>
      </c>
      <c r="E42" s="49" t="s">
        <v>70</v>
      </c>
      <c r="F42" s="49" t="s">
        <v>76</v>
      </c>
      <c r="G42" s="49" t="s">
        <v>183</v>
      </c>
      <c r="H42" s="49" t="s">
        <v>82</v>
      </c>
      <c r="I42" s="49" t="s">
        <v>83</v>
      </c>
      <c r="J42" s="49" t="s">
        <v>81</v>
      </c>
      <c r="K42" s="49">
        <v>3</v>
      </c>
      <c r="L42" s="49">
        <v>300</v>
      </c>
      <c r="M42" s="49">
        <v>0</v>
      </c>
      <c r="N42" s="49">
        <v>900</v>
      </c>
      <c r="O42" s="49">
        <v>900</v>
      </c>
      <c r="P42" s="49">
        <v>496.95</v>
      </c>
      <c r="Q42" s="49">
        <v>403.05</v>
      </c>
      <c r="R42" s="49">
        <v>0.44779999999999998</v>
      </c>
      <c r="S42" s="49">
        <v>0.55220000000000002</v>
      </c>
      <c r="T42" s="49">
        <v>1072</v>
      </c>
      <c r="U42" s="49">
        <v>0.89290000000000003</v>
      </c>
      <c r="V42" s="49">
        <v>0</v>
      </c>
      <c r="W42" s="50">
        <v>0</v>
      </c>
      <c r="X42" s="43"/>
      <c r="Y42" s="43"/>
      <c r="Z42" s="43"/>
      <c r="AA42" s="43"/>
      <c r="AB42" s="43"/>
      <c r="AC42" s="43"/>
    </row>
    <row r="43" spans="1:29" x14ac:dyDescent="0.3">
      <c r="A43" s="43"/>
      <c r="B43" s="45" t="s">
        <v>184</v>
      </c>
      <c r="C43" s="48">
        <v>45463</v>
      </c>
      <c r="D43" s="49" t="s">
        <v>137</v>
      </c>
      <c r="E43" s="49" t="s">
        <v>71</v>
      </c>
      <c r="F43" s="49" t="s">
        <v>73</v>
      </c>
      <c r="G43" s="49" t="s">
        <v>153</v>
      </c>
      <c r="H43" s="49" t="s">
        <v>84</v>
      </c>
      <c r="I43" s="49" t="s">
        <v>80</v>
      </c>
      <c r="J43" s="49" t="s">
        <v>81</v>
      </c>
      <c r="K43" s="49">
        <v>1</v>
      </c>
      <c r="L43" s="49">
        <v>300</v>
      </c>
      <c r="M43" s="49">
        <v>0.15</v>
      </c>
      <c r="N43" s="49">
        <v>300</v>
      </c>
      <c r="O43" s="49">
        <v>255</v>
      </c>
      <c r="P43" s="49">
        <v>168.64</v>
      </c>
      <c r="Q43" s="49">
        <v>86.36</v>
      </c>
      <c r="R43" s="49">
        <v>0.3387</v>
      </c>
      <c r="S43" s="49">
        <v>0.6613</v>
      </c>
      <c r="T43" s="49">
        <v>339</v>
      </c>
      <c r="U43" s="49">
        <v>0.30359999999999998</v>
      </c>
      <c r="V43" s="49">
        <v>1</v>
      </c>
      <c r="W43" s="50">
        <v>1</v>
      </c>
      <c r="X43" s="43"/>
      <c r="Y43" s="43"/>
      <c r="Z43" s="43"/>
      <c r="AA43" s="43"/>
      <c r="AB43" s="43"/>
      <c r="AC43" s="43"/>
    </row>
    <row r="44" spans="1:29" x14ac:dyDescent="0.3">
      <c r="A44" s="43"/>
      <c r="B44" s="45" t="s">
        <v>185</v>
      </c>
      <c r="C44" s="48">
        <v>45292</v>
      </c>
      <c r="D44" s="49" t="s">
        <v>151</v>
      </c>
      <c r="E44" s="49" t="s">
        <v>70</v>
      </c>
      <c r="F44" s="49" t="s">
        <v>74</v>
      </c>
      <c r="G44" s="49" t="s">
        <v>153</v>
      </c>
      <c r="H44" s="49" t="s">
        <v>85</v>
      </c>
      <c r="I44" s="49" t="s">
        <v>83</v>
      </c>
      <c r="J44" s="49" t="s">
        <v>81</v>
      </c>
      <c r="K44" s="49">
        <v>2</v>
      </c>
      <c r="L44" s="49">
        <v>500</v>
      </c>
      <c r="M44" s="49">
        <v>0.03</v>
      </c>
      <c r="N44" s="49">
        <v>1000</v>
      </c>
      <c r="O44" s="49">
        <v>970</v>
      </c>
      <c r="P44" s="49">
        <v>652.05999999999995</v>
      </c>
      <c r="Q44" s="49">
        <v>317.94</v>
      </c>
      <c r="R44" s="49">
        <v>0.32779999999999998</v>
      </c>
      <c r="S44" s="49">
        <v>0.67220000000000002</v>
      </c>
      <c r="T44" s="49">
        <v>1131</v>
      </c>
      <c r="U44" s="49">
        <v>1.2932999999999999</v>
      </c>
      <c r="V44" s="49">
        <v>1</v>
      </c>
      <c r="W44" s="50">
        <v>0.5</v>
      </c>
      <c r="X44" s="43"/>
      <c r="Y44" s="43"/>
      <c r="Z44" s="43"/>
      <c r="AA44" s="43"/>
      <c r="AB44" s="43"/>
      <c r="AC44" s="43"/>
    </row>
    <row r="45" spans="1:29" x14ac:dyDescent="0.3">
      <c r="A45" s="43"/>
      <c r="B45" s="45" t="s">
        <v>186</v>
      </c>
      <c r="C45" s="48">
        <v>45508</v>
      </c>
      <c r="D45" s="49" t="s">
        <v>149</v>
      </c>
      <c r="E45" s="49" t="s">
        <v>70</v>
      </c>
      <c r="F45" s="49" t="s">
        <v>72</v>
      </c>
      <c r="G45" s="49" t="s">
        <v>153</v>
      </c>
      <c r="H45" s="49" t="s">
        <v>79</v>
      </c>
      <c r="I45" s="49" t="s">
        <v>83</v>
      </c>
      <c r="J45" s="49" t="s">
        <v>86</v>
      </c>
      <c r="K45" s="49">
        <v>7</v>
      </c>
      <c r="L45" s="49">
        <v>100</v>
      </c>
      <c r="M45" s="49">
        <v>0</v>
      </c>
      <c r="N45" s="49">
        <v>700</v>
      </c>
      <c r="O45" s="49">
        <v>700</v>
      </c>
      <c r="P45" s="49">
        <v>500.11</v>
      </c>
      <c r="Q45" s="49">
        <v>199.89</v>
      </c>
      <c r="R45" s="49">
        <v>0.28560000000000002</v>
      </c>
      <c r="S45" s="49">
        <v>0.71440000000000003</v>
      </c>
      <c r="T45" s="49">
        <v>932</v>
      </c>
      <c r="U45" s="49">
        <v>1.0417000000000001</v>
      </c>
      <c r="V45" s="49">
        <v>0</v>
      </c>
      <c r="W45" s="50">
        <v>0</v>
      </c>
      <c r="X45" s="43"/>
      <c r="Y45" s="43"/>
      <c r="Z45" s="43"/>
      <c r="AA45" s="43"/>
      <c r="AB45" s="43"/>
      <c r="AC45" s="43"/>
    </row>
    <row r="46" spans="1:29" x14ac:dyDescent="0.3">
      <c r="A46" s="43"/>
      <c r="B46" s="45" t="s">
        <v>187</v>
      </c>
      <c r="C46" s="48">
        <v>45372</v>
      </c>
      <c r="D46" s="49" t="s">
        <v>143</v>
      </c>
      <c r="E46" s="49" t="s">
        <v>69</v>
      </c>
      <c r="F46" s="49" t="s">
        <v>72</v>
      </c>
      <c r="G46" s="49" t="s">
        <v>141</v>
      </c>
      <c r="H46" s="49" t="s">
        <v>82</v>
      </c>
      <c r="I46" s="49" t="s">
        <v>80</v>
      </c>
      <c r="J46" s="49" t="s">
        <v>81</v>
      </c>
      <c r="K46" s="49">
        <v>3</v>
      </c>
      <c r="L46" s="49">
        <v>200</v>
      </c>
      <c r="M46" s="49">
        <v>0.05</v>
      </c>
      <c r="N46" s="49">
        <v>600</v>
      </c>
      <c r="O46" s="49">
        <v>570</v>
      </c>
      <c r="P46" s="49">
        <v>303.73</v>
      </c>
      <c r="Q46" s="49">
        <v>266.27</v>
      </c>
      <c r="R46" s="49">
        <v>0.46710000000000002</v>
      </c>
      <c r="S46" s="49">
        <v>0.53290000000000004</v>
      </c>
      <c r="T46" s="49">
        <v>266</v>
      </c>
      <c r="U46" s="49">
        <v>0.95</v>
      </c>
      <c r="V46" s="49">
        <v>0</v>
      </c>
      <c r="W46" s="50">
        <v>0</v>
      </c>
      <c r="X46" s="43"/>
      <c r="Y46" s="43"/>
      <c r="Z46" s="43"/>
      <c r="AA46" s="43"/>
      <c r="AB46" s="43"/>
      <c r="AC46" s="43"/>
    </row>
    <row r="47" spans="1:29" x14ac:dyDescent="0.3">
      <c r="A47" s="43"/>
      <c r="B47" s="45" t="s">
        <v>188</v>
      </c>
      <c r="C47" s="48">
        <v>45994</v>
      </c>
      <c r="D47" s="49" t="s">
        <v>140</v>
      </c>
      <c r="E47" s="49" t="s">
        <v>71</v>
      </c>
      <c r="F47" s="49" t="s">
        <v>75</v>
      </c>
      <c r="G47" s="49" t="s">
        <v>147</v>
      </c>
      <c r="H47" s="49" t="s">
        <v>79</v>
      </c>
      <c r="I47" s="49" t="s">
        <v>83</v>
      </c>
      <c r="J47" s="49" t="s">
        <v>81</v>
      </c>
      <c r="K47" s="49">
        <v>4</v>
      </c>
      <c r="L47" s="49">
        <v>25</v>
      </c>
      <c r="M47" s="49">
        <v>0</v>
      </c>
      <c r="N47" s="49">
        <v>100</v>
      </c>
      <c r="O47" s="49">
        <v>100</v>
      </c>
      <c r="P47" s="49">
        <v>70.510000000000005</v>
      </c>
      <c r="Q47" s="49">
        <v>29.49</v>
      </c>
      <c r="R47" s="49">
        <v>0.2949</v>
      </c>
      <c r="S47" s="49">
        <v>0.70509999999999995</v>
      </c>
      <c r="T47" s="49">
        <v>152</v>
      </c>
      <c r="U47" s="49">
        <v>0.12820000000000001</v>
      </c>
      <c r="V47" s="49">
        <v>0</v>
      </c>
      <c r="W47" s="50">
        <v>0</v>
      </c>
      <c r="X47" s="43"/>
      <c r="Y47" s="43"/>
      <c r="Z47" s="43"/>
      <c r="AA47" s="43"/>
      <c r="AB47" s="43"/>
      <c r="AC47" s="43"/>
    </row>
    <row r="48" spans="1:29" x14ac:dyDescent="0.3">
      <c r="A48" s="43"/>
      <c r="B48" s="45" t="s">
        <v>189</v>
      </c>
      <c r="C48" s="48">
        <v>45613</v>
      </c>
      <c r="D48" s="49" t="s">
        <v>140</v>
      </c>
      <c r="E48" s="49" t="s">
        <v>71</v>
      </c>
      <c r="F48" s="49" t="s">
        <v>73</v>
      </c>
      <c r="G48" s="49" t="s">
        <v>141</v>
      </c>
      <c r="H48" s="49" t="s">
        <v>82</v>
      </c>
      <c r="I48" s="49" t="s">
        <v>80</v>
      </c>
      <c r="J48" s="49" t="s">
        <v>86</v>
      </c>
      <c r="K48" s="49">
        <v>9</v>
      </c>
      <c r="L48" s="49">
        <v>150</v>
      </c>
      <c r="M48" s="49">
        <v>0.1</v>
      </c>
      <c r="N48" s="49">
        <v>1350</v>
      </c>
      <c r="O48" s="49">
        <v>1215</v>
      </c>
      <c r="P48" s="49">
        <v>838.45</v>
      </c>
      <c r="Q48" s="49">
        <v>376.55</v>
      </c>
      <c r="R48" s="49">
        <v>0.30990000000000001</v>
      </c>
      <c r="S48" s="49">
        <v>0.69010000000000005</v>
      </c>
      <c r="T48" s="49">
        <v>1062</v>
      </c>
      <c r="U48" s="49">
        <v>1.2656000000000001</v>
      </c>
      <c r="V48" s="49">
        <v>0</v>
      </c>
      <c r="W48" s="50">
        <v>0</v>
      </c>
      <c r="X48" s="43"/>
      <c r="Y48" s="43"/>
      <c r="Z48" s="43"/>
      <c r="AA48" s="43"/>
      <c r="AB48" s="43"/>
      <c r="AC48" s="43"/>
    </row>
    <row r="49" spans="1:29" x14ac:dyDescent="0.3">
      <c r="A49" s="43"/>
      <c r="B49" s="45" t="s">
        <v>190</v>
      </c>
      <c r="C49" s="48">
        <v>45968</v>
      </c>
      <c r="D49" s="49" t="s">
        <v>137</v>
      </c>
      <c r="E49" s="49" t="s">
        <v>71</v>
      </c>
      <c r="F49" s="49" t="s">
        <v>75</v>
      </c>
      <c r="G49" s="49" t="s">
        <v>183</v>
      </c>
      <c r="H49" s="49" t="s">
        <v>82</v>
      </c>
      <c r="I49" s="49" t="s">
        <v>83</v>
      </c>
      <c r="J49" s="49" t="s">
        <v>81</v>
      </c>
      <c r="K49" s="49">
        <v>1</v>
      </c>
      <c r="L49" s="49">
        <v>500</v>
      </c>
      <c r="M49" s="49">
        <v>0.1</v>
      </c>
      <c r="N49" s="49">
        <v>500</v>
      </c>
      <c r="O49" s="49">
        <v>450</v>
      </c>
      <c r="P49" s="49">
        <v>275.97000000000003</v>
      </c>
      <c r="Q49" s="49">
        <v>174.03</v>
      </c>
      <c r="R49" s="49">
        <v>0.38669999999999999</v>
      </c>
      <c r="S49" s="49">
        <v>0.61329999999999996</v>
      </c>
      <c r="T49" s="49">
        <v>869</v>
      </c>
      <c r="U49" s="49">
        <v>0.57689999999999997</v>
      </c>
      <c r="V49" s="49">
        <v>0</v>
      </c>
      <c r="W49" s="50">
        <v>0</v>
      </c>
      <c r="X49" s="43"/>
      <c r="Y49" s="43"/>
      <c r="Z49" s="43"/>
      <c r="AA49" s="43"/>
      <c r="AB49" s="43"/>
      <c r="AC49" s="43"/>
    </row>
    <row r="50" spans="1:29" x14ac:dyDescent="0.3">
      <c r="A50" s="43"/>
      <c r="B50" s="45" t="s">
        <v>191</v>
      </c>
      <c r="C50" s="48">
        <v>45567</v>
      </c>
      <c r="D50" s="49" t="s">
        <v>140</v>
      </c>
      <c r="E50" s="49" t="s">
        <v>71</v>
      </c>
      <c r="F50" s="49" t="s">
        <v>73</v>
      </c>
      <c r="G50" s="49" t="s">
        <v>183</v>
      </c>
      <c r="H50" s="49" t="s">
        <v>79</v>
      </c>
      <c r="I50" s="49" t="s">
        <v>83</v>
      </c>
      <c r="J50" s="49" t="s">
        <v>81</v>
      </c>
      <c r="K50" s="49">
        <v>3</v>
      </c>
      <c r="L50" s="49">
        <v>25</v>
      </c>
      <c r="M50" s="49">
        <v>0.1</v>
      </c>
      <c r="N50" s="49">
        <v>75</v>
      </c>
      <c r="O50" s="49">
        <v>67.5</v>
      </c>
      <c r="P50" s="49">
        <v>40.76</v>
      </c>
      <c r="Q50" s="49">
        <v>26.74</v>
      </c>
      <c r="R50" s="49">
        <v>0.39610000000000001</v>
      </c>
      <c r="S50" s="49">
        <v>0.60389999999999999</v>
      </c>
      <c r="T50" s="49">
        <v>58</v>
      </c>
      <c r="U50" s="49">
        <v>7.0300000000000001E-2</v>
      </c>
      <c r="V50" s="49">
        <v>1</v>
      </c>
      <c r="W50" s="50">
        <v>0.33329999999999999</v>
      </c>
      <c r="X50" s="43"/>
      <c r="Y50" s="43"/>
      <c r="Z50" s="43"/>
      <c r="AA50" s="43"/>
      <c r="AB50" s="43"/>
      <c r="AC50" s="43"/>
    </row>
    <row r="51" spans="1:29" x14ac:dyDescent="0.3">
      <c r="A51" s="43"/>
      <c r="B51" s="45" t="s">
        <v>192</v>
      </c>
      <c r="C51" s="48">
        <v>45557</v>
      </c>
      <c r="D51" s="49" t="s">
        <v>161</v>
      </c>
      <c r="E51" s="49" t="s">
        <v>68</v>
      </c>
      <c r="F51" s="49" t="s">
        <v>75</v>
      </c>
      <c r="G51" s="49" t="s">
        <v>141</v>
      </c>
      <c r="H51" s="49" t="s">
        <v>84</v>
      </c>
      <c r="I51" s="49" t="s">
        <v>83</v>
      </c>
      <c r="J51" s="49" t="s">
        <v>81</v>
      </c>
      <c r="K51" s="49">
        <v>4</v>
      </c>
      <c r="L51" s="49">
        <v>200</v>
      </c>
      <c r="M51" s="49">
        <v>0</v>
      </c>
      <c r="N51" s="49">
        <v>800</v>
      </c>
      <c r="O51" s="49">
        <v>800</v>
      </c>
      <c r="P51" s="49">
        <v>440.7</v>
      </c>
      <c r="Q51" s="49">
        <v>359.3</v>
      </c>
      <c r="R51" s="49">
        <v>0.4491</v>
      </c>
      <c r="S51" s="49">
        <v>0.55089999999999995</v>
      </c>
      <c r="T51" s="49">
        <v>478</v>
      </c>
      <c r="U51" s="49">
        <v>1.0989</v>
      </c>
      <c r="V51" s="49">
        <v>0</v>
      </c>
      <c r="W51" s="50">
        <v>0</v>
      </c>
      <c r="X51" s="43"/>
      <c r="Y51" s="43"/>
      <c r="Z51" s="43"/>
      <c r="AA51" s="43"/>
      <c r="AB51" s="43"/>
      <c r="AC51" s="43"/>
    </row>
    <row r="52" spans="1:29" x14ac:dyDescent="0.3">
      <c r="A52" s="43"/>
      <c r="B52" s="45" t="s">
        <v>193</v>
      </c>
      <c r="C52" s="48">
        <v>45468</v>
      </c>
      <c r="D52" s="49" t="s">
        <v>140</v>
      </c>
      <c r="E52" s="49" t="s">
        <v>71</v>
      </c>
      <c r="F52" s="49" t="s">
        <v>73</v>
      </c>
      <c r="G52" s="49" t="s">
        <v>138</v>
      </c>
      <c r="H52" s="49" t="s">
        <v>82</v>
      </c>
      <c r="I52" s="49" t="s">
        <v>80</v>
      </c>
      <c r="J52" s="49" t="s">
        <v>81</v>
      </c>
      <c r="K52" s="49">
        <v>3</v>
      </c>
      <c r="L52" s="49">
        <v>80</v>
      </c>
      <c r="M52" s="49">
        <v>0.08</v>
      </c>
      <c r="N52" s="49">
        <v>240</v>
      </c>
      <c r="O52" s="49">
        <v>220.8</v>
      </c>
      <c r="P52" s="49">
        <v>119.71</v>
      </c>
      <c r="Q52" s="49">
        <v>101.09</v>
      </c>
      <c r="R52" s="49">
        <v>0.45779999999999998</v>
      </c>
      <c r="S52" s="49">
        <v>0.54220000000000002</v>
      </c>
      <c r="T52" s="49">
        <v>299</v>
      </c>
      <c r="U52" s="49">
        <v>0.26290000000000002</v>
      </c>
      <c r="V52" s="49">
        <v>0</v>
      </c>
      <c r="W52" s="50">
        <v>0</v>
      </c>
      <c r="X52" s="43"/>
      <c r="Y52" s="43"/>
      <c r="Z52" s="43"/>
      <c r="AA52" s="43"/>
      <c r="AB52" s="43"/>
      <c r="AC52" s="43"/>
    </row>
    <row r="53" spans="1:29" x14ac:dyDescent="0.3">
      <c r="A53" s="43"/>
      <c r="B53" s="45" t="s">
        <v>194</v>
      </c>
      <c r="C53" s="48">
        <v>45390</v>
      </c>
      <c r="D53" s="49" t="s">
        <v>149</v>
      </c>
      <c r="E53" s="49" t="s">
        <v>70</v>
      </c>
      <c r="F53" s="49" t="s">
        <v>75</v>
      </c>
      <c r="G53" s="49" t="s">
        <v>147</v>
      </c>
      <c r="H53" s="49" t="s">
        <v>82</v>
      </c>
      <c r="I53" s="49" t="s">
        <v>83</v>
      </c>
      <c r="J53" s="49" t="s">
        <v>81</v>
      </c>
      <c r="K53" s="49">
        <v>5</v>
      </c>
      <c r="L53" s="49">
        <v>150</v>
      </c>
      <c r="M53" s="49">
        <v>0.05</v>
      </c>
      <c r="N53" s="49">
        <v>750</v>
      </c>
      <c r="O53" s="49">
        <v>712.5</v>
      </c>
      <c r="P53" s="49">
        <v>425.6</v>
      </c>
      <c r="Q53" s="49">
        <v>286.89999999999998</v>
      </c>
      <c r="R53" s="49">
        <v>0.4027</v>
      </c>
      <c r="S53" s="49">
        <v>0.59730000000000005</v>
      </c>
      <c r="T53" s="49">
        <v>530</v>
      </c>
      <c r="U53" s="49">
        <v>1.0447</v>
      </c>
      <c r="V53" s="49">
        <v>0</v>
      </c>
      <c r="W53" s="50">
        <v>0</v>
      </c>
      <c r="X53" s="43"/>
      <c r="Y53" s="43"/>
      <c r="Z53" s="43"/>
      <c r="AA53" s="43"/>
      <c r="AB53" s="43"/>
      <c r="AC53" s="43"/>
    </row>
    <row r="54" spans="1:29" x14ac:dyDescent="0.3">
      <c r="A54" s="43"/>
      <c r="B54" s="45" t="s">
        <v>195</v>
      </c>
      <c r="C54" s="48">
        <v>45333</v>
      </c>
      <c r="D54" s="49" t="s">
        <v>149</v>
      </c>
      <c r="E54" s="49" t="s">
        <v>70</v>
      </c>
      <c r="F54" s="49" t="s">
        <v>75</v>
      </c>
      <c r="G54" s="49" t="s">
        <v>138</v>
      </c>
      <c r="H54" s="49" t="s">
        <v>84</v>
      </c>
      <c r="I54" s="49" t="s">
        <v>83</v>
      </c>
      <c r="J54" s="49" t="s">
        <v>86</v>
      </c>
      <c r="K54" s="49">
        <v>4</v>
      </c>
      <c r="L54" s="49">
        <v>200</v>
      </c>
      <c r="M54" s="49">
        <v>0.1</v>
      </c>
      <c r="N54" s="49">
        <v>800</v>
      </c>
      <c r="O54" s="49">
        <v>720</v>
      </c>
      <c r="P54" s="49">
        <v>434.47</v>
      </c>
      <c r="Q54" s="49">
        <v>285.52999999999997</v>
      </c>
      <c r="R54" s="49">
        <v>0.39660000000000001</v>
      </c>
      <c r="S54" s="49">
        <v>0.60340000000000005</v>
      </c>
      <c r="T54" s="49">
        <v>565</v>
      </c>
      <c r="U54" s="49">
        <v>1.1076999999999999</v>
      </c>
      <c r="V54" s="49">
        <v>1</v>
      </c>
      <c r="W54" s="50">
        <v>0.25</v>
      </c>
      <c r="X54" s="43"/>
      <c r="Y54" s="43"/>
      <c r="Z54" s="43"/>
      <c r="AA54" s="43"/>
      <c r="AB54" s="43"/>
      <c r="AC54" s="43"/>
    </row>
    <row r="55" spans="1:29" x14ac:dyDescent="0.3">
      <c r="A55" s="43"/>
      <c r="B55" s="45" t="s">
        <v>196</v>
      </c>
      <c r="C55" s="48">
        <v>45587</v>
      </c>
      <c r="D55" s="49" t="s">
        <v>149</v>
      </c>
      <c r="E55" s="49" t="s">
        <v>70</v>
      </c>
      <c r="F55" s="49" t="s">
        <v>75</v>
      </c>
      <c r="G55" s="49" t="s">
        <v>141</v>
      </c>
      <c r="H55" s="49" t="s">
        <v>84</v>
      </c>
      <c r="I55" s="49" t="s">
        <v>80</v>
      </c>
      <c r="J55" s="49" t="s">
        <v>81</v>
      </c>
      <c r="K55" s="49">
        <v>3</v>
      </c>
      <c r="L55" s="49">
        <v>80</v>
      </c>
      <c r="M55" s="49">
        <v>0.08</v>
      </c>
      <c r="N55" s="49">
        <v>240</v>
      </c>
      <c r="O55" s="49">
        <v>220.8</v>
      </c>
      <c r="P55" s="49">
        <v>140.94</v>
      </c>
      <c r="Q55" s="49">
        <v>79.86</v>
      </c>
      <c r="R55" s="49">
        <v>0.36170000000000002</v>
      </c>
      <c r="S55" s="49">
        <v>0.63829999999999998</v>
      </c>
      <c r="T55" s="49">
        <v>234</v>
      </c>
      <c r="U55" s="49">
        <v>0.28310000000000002</v>
      </c>
      <c r="V55" s="49">
        <v>1</v>
      </c>
      <c r="W55" s="50">
        <v>0.33329999999999999</v>
      </c>
      <c r="X55" s="43"/>
      <c r="Y55" s="43"/>
      <c r="Z55" s="43"/>
      <c r="AA55" s="43"/>
      <c r="AB55" s="43"/>
      <c r="AC55" s="43"/>
    </row>
    <row r="56" spans="1:29" x14ac:dyDescent="0.3">
      <c r="A56" s="43"/>
      <c r="B56" s="45" t="s">
        <v>197</v>
      </c>
      <c r="C56" s="48">
        <v>45338</v>
      </c>
      <c r="D56" s="49" t="s">
        <v>151</v>
      </c>
      <c r="E56" s="49" t="s">
        <v>70</v>
      </c>
      <c r="F56" s="49" t="s">
        <v>74</v>
      </c>
      <c r="G56" s="49" t="s">
        <v>183</v>
      </c>
      <c r="H56" s="49" t="s">
        <v>84</v>
      </c>
      <c r="I56" s="49" t="s">
        <v>83</v>
      </c>
      <c r="J56" s="49" t="s">
        <v>81</v>
      </c>
      <c r="K56" s="49">
        <v>6</v>
      </c>
      <c r="L56" s="49">
        <v>40</v>
      </c>
      <c r="M56" s="49">
        <v>0.1</v>
      </c>
      <c r="N56" s="49">
        <v>240</v>
      </c>
      <c r="O56" s="49">
        <v>216</v>
      </c>
      <c r="P56" s="49">
        <v>159.83000000000001</v>
      </c>
      <c r="Q56" s="49">
        <v>56.17</v>
      </c>
      <c r="R56" s="49">
        <v>0.26</v>
      </c>
      <c r="S56" s="49">
        <v>0.74</v>
      </c>
      <c r="T56" s="49">
        <v>185</v>
      </c>
      <c r="U56" s="49">
        <v>0.28799999999999998</v>
      </c>
      <c r="V56" s="49">
        <v>0</v>
      </c>
      <c r="W56" s="50">
        <v>0</v>
      </c>
      <c r="X56" s="43"/>
      <c r="Y56" s="43"/>
      <c r="Z56" s="43"/>
      <c r="AA56" s="43"/>
      <c r="AB56" s="43"/>
      <c r="AC56" s="43"/>
    </row>
    <row r="57" spans="1:29" x14ac:dyDescent="0.3">
      <c r="A57" s="43"/>
      <c r="B57" s="45" t="s">
        <v>198</v>
      </c>
      <c r="C57" s="48">
        <v>45808</v>
      </c>
      <c r="D57" s="49" t="s">
        <v>143</v>
      </c>
      <c r="E57" s="49" t="s">
        <v>69</v>
      </c>
      <c r="F57" s="49" t="s">
        <v>76</v>
      </c>
      <c r="G57" s="49" t="s">
        <v>141</v>
      </c>
      <c r="H57" s="49" t="s">
        <v>84</v>
      </c>
      <c r="I57" s="49" t="s">
        <v>83</v>
      </c>
      <c r="J57" s="49" t="s">
        <v>81</v>
      </c>
      <c r="K57" s="49">
        <v>8</v>
      </c>
      <c r="L57" s="49">
        <v>80</v>
      </c>
      <c r="M57" s="49">
        <v>0.08</v>
      </c>
      <c r="N57" s="49">
        <v>640</v>
      </c>
      <c r="O57" s="49">
        <v>588.79999999999995</v>
      </c>
      <c r="P57" s="49">
        <v>440.7</v>
      </c>
      <c r="Q57" s="49">
        <v>148.1</v>
      </c>
      <c r="R57" s="49">
        <v>0.2515</v>
      </c>
      <c r="S57" s="49">
        <v>0.74850000000000005</v>
      </c>
      <c r="T57" s="49">
        <v>681</v>
      </c>
      <c r="U57" s="49">
        <v>0.62309999999999999</v>
      </c>
      <c r="V57" s="49">
        <v>0</v>
      </c>
      <c r="W57" s="50">
        <v>0</v>
      </c>
      <c r="X57" s="43"/>
      <c r="Y57" s="43"/>
      <c r="Z57" s="43"/>
      <c r="AA57" s="43"/>
      <c r="AB57" s="43"/>
      <c r="AC57" s="43"/>
    </row>
    <row r="58" spans="1:29" x14ac:dyDescent="0.3">
      <c r="A58" s="43"/>
      <c r="B58" s="45" t="s">
        <v>199</v>
      </c>
      <c r="C58" s="48">
        <v>45745</v>
      </c>
      <c r="D58" s="49" t="s">
        <v>161</v>
      </c>
      <c r="E58" s="49" t="s">
        <v>68</v>
      </c>
      <c r="F58" s="49" t="s">
        <v>74</v>
      </c>
      <c r="G58" s="49" t="s">
        <v>153</v>
      </c>
      <c r="H58" s="49" t="s">
        <v>85</v>
      </c>
      <c r="I58" s="49" t="s">
        <v>83</v>
      </c>
      <c r="J58" s="49" t="s">
        <v>81</v>
      </c>
      <c r="K58" s="49">
        <v>5</v>
      </c>
      <c r="L58" s="49">
        <v>80</v>
      </c>
      <c r="M58" s="49">
        <v>0.03</v>
      </c>
      <c r="N58" s="49">
        <v>400</v>
      </c>
      <c r="O58" s="49">
        <v>388</v>
      </c>
      <c r="P58" s="49">
        <v>249.05</v>
      </c>
      <c r="Q58" s="49">
        <v>138.94999999999999</v>
      </c>
      <c r="R58" s="49">
        <v>0.35809999999999997</v>
      </c>
      <c r="S58" s="49">
        <v>0.64190000000000003</v>
      </c>
      <c r="T58" s="49">
        <v>302</v>
      </c>
      <c r="U58" s="49">
        <v>0.51729999999999998</v>
      </c>
      <c r="V58" s="49">
        <v>0</v>
      </c>
      <c r="W58" s="50">
        <v>0</v>
      </c>
      <c r="X58" s="43"/>
      <c r="Y58" s="43"/>
      <c r="Z58" s="43"/>
      <c r="AA58" s="43"/>
      <c r="AB58" s="43"/>
      <c r="AC58" s="43"/>
    </row>
    <row r="59" spans="1:29" x14ac:dyDescent="0.3">
      <c r="A59" s="43"/>
      <c r="B59" s="45" t="s">
        <v>200</v>
      </c>
      <c r="C59" s="48">
        <v>45885</v>
      </c>
      <c r="D59" s="49" t="s">
        <v>140</v>
      </c>
      <c r="E59" s="49" t="s">
        <v>71</v>
      </c>
      <c r="F59" s="49" t="s">
        <v>75</v>
      </c>
      <c r="G59" s="49" t="s">
        <v>138</v>
      </c>
      <c r="H59" s="49" t="s">
        <v>85</v>
      </c>
      <c r="I59" s="49" t="s">
        <v>83</v>
      </c>
      <c r="J59" s="49" t="s">
        <v>81</v>
      </c>
      <c r="K59" s="49">
        <v>5</v>
      </c>
      <c r="L59" s="49">
        <v>500</v>
      </c>
      <c r="M59" s="49">
        <v>0</v>
      </c>
      <c r="N59" s="49">
        <v>2500</v>
      </c>
      <c r="O59" s="49">
        <v>2500</v>
      </c>
      <c r="P59" s="49">
        <v>1746.29</v>
      </c>
      <c r="Q59" s="49">
        <v>753.71</v>
      </c>
      <c r="R59" s="49">
        <v>0.30149999999999999</v>
      </c>
      <c r="S59" s="49">
        <v>0.69850000000000001</v>
      </c>
      <c r="T59" s="49">
        <v>1492</v>
      </c>
      <c r="U59" s="49">
        <v>3.4340999999999999</v>
      </c>
      <c r="V59" s="49">
        <v>0</v>
      </c>
      <c r="W59" s="50">
        <v>0</v>
      </c>
      <c r="X59" s="43"/>
      <c r="Y59" s="43"/>
      <c r="Z59" s="43"/>
      <c r="AA59" s="43"/>
      <c r="AB59" s="43"/>
      <c r="AC59" s="43"/>
    </row>
    <row r="60" spans="1:29" x14ac:dyDescent="0.3">
      <c r="A60" s="43"/>
      <c r="B60" s="45" t="s">
        <v>201</v>
      </c>
      <c r="C60" s="48">
        <v>45652</v>
      </c>
      <c r="D60" s="49" t="s">
        <v>137</v>
      </c>
      <c r="E60" s="49" t="s">
        <v>71</v>
      </c>
      <c r="F60" s="49" t="s">
        <v>72</v>
      </c>
      <c r="G60" s="49" t="s">
        <v>153</v>
      </c>
      <c r="H60" s="49" t="s">
        <v>79</v>
      </c>
      <c r="I60" s="49" t="s">
        <v>80</v>
      </c>
      <c r="J60" s="49" t="s">
        <v>81</v>
      </c>
      <c r="K60" s="49">
        <v>3</v>
      </c>
      <c r="L60" s="49">
        <v>60</v>
      </c>
      <c r="M60" s="49">
        <v>0.08</v>
      </c>
      <c r="N60" s="49">
        <v>180</v>
      </c>
      <c r="O60" s="49">
        <v>165.6</v>
      </c>
      <c r="P60" s="49">
        <v>105.58</v>
      </c>
      <c r="Q60" s="49">
        <v>60.02</v>
      </c>
      <c r="R60" s="49">
        <v>0.3624</v>
      </c>
      <c r="S60" s="49">
        <v>0.63759999999999994</v>
      </c>
      <c r="T60" s="49">
        <v>77</v>
      </c>
      <c r="U60" s="49">
        <v>0.23</v>
      </c>
      <c r="V60" s="49">
        <v>1</v>
      </c>
      <c r="W60" s="50">
        <v>0.33329999999999999</v>
      </c>
      <c r="X60" s="43"/>
      <c r="Y60" s="43"/>
      <c r="Z60" s="43"/>
      <c r="AA60" s="43"/>
      <c r="AB60" s="43"/>
      <c r="AC60" s="43"/>
    </row>
    <row r="61" spans="1:29" x14ac:dyDescent="0.3">
      <c r="A61" s="43"/>
      <c r="B61" s="45" t="s">
        <v>202</v>
      </c>
      <c r="C61" s="48">
        <v>45404</v>
      </c>
      <c r="D61" s="49" t="s">
        <v>143</v>
      </c>
      <c r="E61" s="49" t="s">
        <v>69</v>
      </c>
      <c r="F61" s="49" t="s">
        <v>74</v>
      </c>
      <c r="G61" s="49" t="s">
        <v>183</v>
      </c>
      <c r="H61" s="49" t="s">
        <v>82</v>
      </c>
      <c r="I61" s="49" t="s">
        <v>80</v>
      </c>
      <c r="J61" s="49" t="s">
        <v>81</v>
      </c>
      <c r="K61" s="49">
        <v>5</v>
      </c>
      <c r="L61" s="49">
        <v>100</v>
      </c>
      <c r="M61" s="49">
        <v>0.03</v>
      </c>
      <c r="N61" s="49">
        <v>500</v>
      </c>
      <c r="O61" s="49">
        <v>485</v>
      </c>
      <c r="P61" s="49">
        <v>281.92</v>
      </c>
      <c r="Q61" s="49">
        <v>203.08</v>
      </c>
      <c r="R61" s="49">
        <v>0.41870000000000002</v>
      </c>
      <c r="S61" s="49">
        <v>0.58130000000000004</v>
      </c>
      <c r="T61" s="49">
        <v>325</v>
      </c>
      <c r="U61" s="49">
        <v>0.61550000000000005</v>
      </c>
      <c r="V61" s="49">
        <v>0</v>
      </c>
      <c r="W61" s="50">
        <v>0</v>
      </c>
      <c r="X61" s="43"/>
      <c r="Y61" s="43"/>
      <c r="Z61" s="43"/>
      <c r="AA61" s="43"/>
      <c r="AB61" s="43"/>
      <c r="AC61" s="43"/>
    </row>
    <row r="62" spans="1:29" x14ac:dyDescent="0.3">
      <c r="A62" s="43"/>
      <c r="B62" s="45" t="s">
        <v>203</v>
      </c>
      <c r="C62" s="48">
        <v>45600</v>
      </c>
      <c r="D62" s="49" t="s">
        <v>149</v>
      </c>
      <c r="E62" s="49" t="s">
        <v>70</v>
      </c>
      <c r="F62" s="49" t="s">
        <v>75</v>
      </c>
      <c r="G62" s="49" t="s">
        <v>138</v>
      </c>
      <c r="H62" s="49" t="s">
        <v>82</v>
      </c>
      <c r="I62" s="49" t="s">
        <v>80</v>
      </c>
      <c r="J62" s="49" t="s">
        <v>81</v>
      </c>
      <c r="K62" s="49">
        <v>6</v>
      </c>
      <c r="L62" s="49">
        <v>150</v>
      </c>
      <c r="M62" s="49">
        <v>0.08</v>
      </c>
      <c r="N62" s="49">
        <v>900</v>
      </c>
      <c r="O62" s="49">
        <v>828</v>
      </c>
      <c r="P62" s="49">
        <v>500.14</v>
      </c>
      <c r="Q62" s="49">
        <v>327.86</v>
      </c>
      <c r="R62" s="49">
        <v>0.39600000000000002</v>
      </c>
      <c r="S62" s="49">
        <v>0.60399999999999998</v>
      </c>
      <c r="T62" s="49">
        <v>975</v>
      </c>
      <c r="U62" s="49">
        <v>1.0615000000000001</v>
      </c>
      <c r="V62" s="49">
        <v>0</v>
      </c>
      <c r="W62" s="50">
        <v>0</v>
      </c>
      <c r="X62" s="43"/>
      <c r="Y62" s="43"/>
      <c r="Z62" s="43"/>
      <c r="AA62" s="43"/>
      <c r="AB62" s="43"/>
      <c r="AC62" s="43"/>
    </row>
    <row r="63" spans="1:29" x14ac:dyDescent="0.3">
      <c r="A63" s="43"/>
      <c r="B63" s="45" t="s">
        <v>204</v>
      </c>
      <c r="C63" s="48">
        <v>45926</v>
      </c>
      <c r="D63" s="49" t="s">
        <v>143</v>
      </c>
      <c r="E63" s="49" t="s">
        <v>69</v>
      </c>
      <c r="F63" s="49" t="s">
        <v>74</v>
      </c>
      <c r="G63" s="49" t="s">
        <v>183</v>
      </c>
      <c r="H63" s="49" t="s">
        <v>84</v>
      </c>
      <c r="I63" s="49" t="s">
        <v>83</v>
      </c>
      <c r="J63" s="49" t="s">
        <v>86</v>
      </c>
      <c r="K63" s="49">
        <v>7</v>
      </c>
      <c r="L63" s="49">
        <v>500</v>
      </c>
      <c r="M63" s="49">
        <v>0.05</v>
      </c>
      <c r="N63" s="49">
        <v>3500</v>
      </c>
      <c r="O63" s="49">
        <v>3325</v>
      </c>
      <c r="P63" s="49">
        <v>2152.04</v>
      </c>
      <c r="Q63" s="49">
        <v>1172.96</v>
      </c>
      <c r="R63" s="49">
        <v>0.3528</v>
      </c>
      <c r="S63" s="49">
        <v>0.6472</v>
      </c>
      <c r="T63" s="49">
        <v>3877</v>
      </c>
      <c r="U63" s="49">
        <v>3.9582999999999999</v>
      </c>
      <c r="V63" s="49">
        <v>1</v>
      </c>
      <c r="W63" s="50">
        <v>0.1429</v>
      </c>
      <c r="X63" s="43"/>
      <c r="Y63" s="43"/>
      <c r="Z63" s="43"/>
      <c r="AA63" s="43"/>
      <c r="AB63" s="43"/>
      <c r="AC63" s="43"/>
    </row>
    <row r="64" spans="1:29" x14ac:dyDescent="0.3">
      <c r="A64" s="43"/>
      <c r="B64" s="45" t="s">
        <v>205</v>
      </c>
      <c r="C64" s="48">
        <v>45418</v>
      </c>
      <c r="D64" s="49" t="s">
        <v>143</v>
      </c>
      <c r="E64" s="49" t="s">
        <v>69</v>
      </c>
      <c r="F64" s="49" t="s">
        <v>75</v>
      </c>
      <c r="G64" s="49" t="s">
        <v>153</v>
      </c>
      <c r="H64" s="49" t="s">
        <v>82</v>
      </c>
      <c r="I64" s="49" t="s">
        <v>83</v>
      </c>
      <c r="J64" s="49" t="s">
        <v>86</v>
      </c>
      <c r="K64" s="49">
        <v>3</v>
      </c>
      <c r="L64" s="49">
        <v>25</v>
      </c>
      <c r="M64" s="49">
        <v>0</v>
      </c>
      <c r="N64" s="49">
        <v>75</v>
      </c>
      <c r="O64" s="49">
        <v>75</v>
      </c>
      <c r="P64" s="49">
        <v>58.25</v>
      </c>
      <c r="Q64" s="49">
        <v>16.75</v>
      </c>
      <c r="R64" s="49">
        <v>0.2233</v>
      </c>
      <c r="S64" s="49">
        <v>0.77669999999999995</v>
      </c>
      <c r="T64" s="49">
        <v>90</v>
      </c>
      <c r="U64" s="49">
        <v>0.11</v>
      </c>
      <c r="V64" s="49">
        <v>0</v>
      </c>
      <c r="W64" s="50">
        <v>0</v>
      </c>
      <c r="X64" s="43"/>
      <c r="Y64" s="43"/>
      <c r="Z64" s="43"/>
      <c r="AA64" s="43"/>
      <c r="AB64" s="43"/>
      <c r="AC64" s="43"/>
    </row>
    <row r="65" spans="1:29" x14ac:dyDescent="0.3">
      <c r="A65" s="43"/>
      <c r="B65" s="45" t="s">
        <v>206</v>
      </c>
      <c r="C65" s="48">
        <v>45570</v>
      </c>
      <c r="D65" s="49" t="s">
        <v>149</v>
      </c>
      <c r="E65" s="49" t="s">
        <v>70</v>
      </c>
      <c r="F65" s="49" t="s">
        <v>72</v>
      </c>
      <c r="G65" s="49" t="s">
        <v>153</v>
      </c>
      <c r="H65" s="49" t="s">
        <v>82</v>
      </c>
      <c r="I65" s="49" t="s">
        <v>83</v>
      </c>
      <c r="J65" s="49" t="s">
        <v>81</v>
      </c>
      <c r="K65" s="49">
        <v>1</v>
      </c>
      <c r="L65" s="49">
        <v>500</v>
      </c>
      <c r="M65" s="49">
        <v>0.05</v>
      </c>
      <c r="N65" s="49">
        <v>500</v>
      </c>
      <c r="O65" s="49">
        <v>475</v>
      </c>
      <c r="P65" s="49">
        <v>315.58999999999997</v>
      </c>
      <c r="Q65" s="49">
        <v>159.41</v>
      </c>
      <c r="R65" s="49">
        <v>0.33560000000000001</v>
      </c>
      <c r="S65" s="49">
        <v>0.66439999999999999</v>
      </c>
      <c r="T65" s="49">
        <v>496</v>
      </c>
      <c r="U65" s="49">
        <v>0.65969999999999995</v>
      </c>
      <c r="V65" s="49">
        <v>0</v>
      </c>
      <c r="W65" s="50">
        <v>0</v>
      </c>
      <c r="X65" s="43"/>
      <c r="Y65" s="43"/>
      <c r="Z65" s="43"/>
      <c r="AA65" s="43"/>
      <c r="AB65" s="43"/>
      <c r="AC65" s="43"/>
    </row>
    <row r="66" spans="1:29" x14ac:dyDescent="0.3">
      <c r="A66" s="43"/>
      <c r="B66" s="45" t="s">
        <v>207</v>
      </c>
      <c r="C66" s="48">
        <v>45301</v>
      </c>
      <c r="D66" s="49" t="s">
        <v>143</v>
      </c>
      <c r="E66" s="49" t="s">
        <v>69</v>
      </c>
      <c r="F66" s="49" t="s">
        <v>75</v>
      </c>
      <c r="G66" s="49" t="s">
        <v>153</v>
      </c>
      <c r="H66" s="49" t="s">
        <v>82</v>
      </c>
      <c r="I66" s="49" t="s">
        <v>80</v>
      </c>
      <c r="J66" s="49" t="s">
        <v>81</v>
      </c>
      <c r="K66" s="49">
        <v>3</v>
      </c>
      <c r="L66" s="49">
        <v>750</v>
      </c>
      <c r="M66" s="49">
        <v>0.05</v>
      </c>
      <c r="N66" s="49">
        <v>2250</v>
      </c>
      <c r="O66" s="49">
        <v>2137.5</v>
      </c>
      <c r="P66" s="49">
        <v>1457.07</v>
      </c>
      <c r="Q66" s="49">
        <v>680.43</v>
      </c>
      <c r="R66" s="49">
        <v>0.31830000000000003</v>
      </c>
      <c r="S66" s="49">
        <v>0.68169999999999997</v>
      </c>
      <c r="T66" s="49">
        <v>1668</v>
      </c>
      <c r="U66" s="49">
        <v>3.2885</v>
      </c>
      <c r="V66" s="49">
        <v>0</v>
      </c>
      <c r="W66" s="50">
        <v>0</v>
      </c>
      <c r="X66" s="43"/>
      <c r="Y66" s="43"/>
      <c r="Z66" s="43"/>
      <c r="AA66" s="43"/>
      <c r="AB66" s="43"/>
      <c r="AC66" s="43"/>
    </row>
    <row r="67" spans="1:29" x14ac:dyDescent="0.3">
      <c r="A67" s="43"/>
      <c r="B67" s="45" t="s">
        <v>208</v>
      </c>
      <c r="C67" s="48">
        <v>45610</v>
      </c>
      <c r="D67" s="49" t="s">
        <v>151</v>
      </c>
      <c r="E67" s="49" t="s">
        <v>70</v>
      </c>
      <c r="F67" s="49" t="s">
        <v>73</v>
      </c>
      <c r="G67" s="49" t="s">
        <v>147</v>
      </c>
      <c r="H67" s="49" t="s">
        <v>84</v>
      </c>
      <c r="I67" s="49" t="s">
        <v>83</v>
      </c>
      <c r="J67" s="49" t="s">
        <v>81</v>
      </c>
      <c r="K67" s="49">
        <v>5</v>
      </c>
      <c r="L67" s="49">
        <v>100</v>
      </c>
      <c r="M67" s="49">
        <v>0.05</v>
      </c>
      <c r="N67" s="49">
        <v>500</v>
      </c>
      <c r="O67" s="49">
        <v>475</v>
      </c>
      <c r="P67" s="49">
        <v>389</v>
      </c>
      <c r="Q67" s="49">
        <v>86</v>
      </c>
      <c r="R67" s="49">
        <v>0.18110000000000001</v>
      </c>
      <c r="S67" s="49">
        <v>0.81889999999999996</v>
      </c>
      <c r="T67" s="49">
        <v>504</v>
      </c>
      <c r="U67" s="49">
        <v>0.49480000000000002</v>
      </c>
      <c r="V67" s="49">
        <v>1</v>
      </c>
      <c r="W67" s="50">
        <v>0.2</v>
      </c>
      <c r="X67" s="43"/>
      <c r="Y67" s="43"/>
      <c r="Z67" s="43"/>
      <c r="AA67" s="43"/>
      <c r="AB67" s="43"/>
      <c r="AC67" s="43"/>
    </row>
    <row r="68" spans="1:29" x14ac:dyDescent="0.3">
      <c r="A68" s="43"/>
      <c r="B68" s="45" t="s">
        <v>209</v>
      </c>
      <c r="C68" s="48">
        <v>45534</v>
      </c>
      <c r="D68" s="49" t="s">
        <v>143</v>
      </c>
      <c r="E68" s="49" t="s">
        <v>69</v>
      </c>
      <c r="F68" s="49" t="s">
        <v>72</v>
      </c>
      <c r="G68" s="49" t="s">
        <v>147</v>
      </c>
      <c r="H68" s="49" t="s">
        <v>82</v>
      </c>
      <c r="I68" s="49" t="s">
        <v>83</v>
      </c>
      <c r="J68" s="49" t="s">
        <v>81</v>
      </c>
      <c r="K68" s="49">
        <v>4</v>
      </c>
      <c r="L68" s="49">
        <v>750</v>
      </c>
      <c r="M68" s="49">
        <v>0.08</v>
      </c>
      <c r="N68" s="49">
        <v>3000</v>
      </c>
      <c r="O68" s="49">
        <v>2760</v>
      </c>
      <c r="P68" s="49">
        <v>1934.15</v>
      </c>
      <c r="Q68" s="49">
        <v>825.85</v>
      </c>
      <c r="R68" s="49">
        <v>0.29920000000000002</v>
      </c>
      <c r="S68" s="49">
        <v>0.70079999999999998</v>
      </c>
      <c r="T68" s="49">
        <v>2058</v>
      </c>
      <c r="U68" s="49">
        <v>4.1071</v>
      </c>
      <c r="V68" s="49">
        <v>0</v>
      </c>
      <c r="W68" s="50">
        <v>0</v>
      </c>
      <c r="X68" s="43"/>
      <c r="Y68" s="43"/>
      <c r="Z68" s="43"/>
      <c r="AA68" s="43"/>
      <c r="AB68" s="43"/>
      <c r="AC68" s="43"/>
    </row>
    <row r="69" spans="1:29" x14ac:dyDescent="0.3">
      <c r="A69" s="43"/>
      <c r="B69" s="45" t="s">
        <v>210</v>
      </c>
      <c r="C69" s="48">
        <v>45656</v>
      </c>
      <c r="D69" s="49" t="s">
        <v>151</v>
      </c>
      <c r="E69" s="49" t="s">
        <v>70</v>
      </c>
      <c r="F69" s="49" t="s">
        <v>72</v>
      </c>
      <c r="G69" s="49" t="s">
        <v>147</v>
      </c>
      <c r="H69" s="49" t="s">
        <v>84</v>
      </c>
      <c r="I69" s="49" t="s">
        <v>83</v>
      </c>
      <c r="J69" s="49" t="s">
        <v>81</v>
      </c>
      <c r="K69" s="49">
        <v>5</v>
      </c>
      <c r="L69" s="49">
        <v>25</v>
      </c>
      <c r="M69" s="49">
        <v>0.08</v>
      </c>
      <c r="N69" s="49">
        <v>125</v>
      </c>
      <c r="O69" s="49">
        <v>115</v>
      </c>
      <c r="P69" s="49">
        <v>74.819999999999993</v>
      </c>
      <c r="Q69" s="49">
        <v>40.18</v>
      </c>
      <c r="R69" s="49">
        <v>0.34939999999999999</v>
      </c>
      <c r="S69" s="49">
        <v>0.65059999999999996</v>
      </c>
      <c r="T69" s="49">
        <v>91</v>
      </c>
      <c r="U69" s="49">
        <v>0.15970000000000001</v>
      </c>
      <c r="V69" s="49">
        <v>0</v>
      </c>
      <c r="W69" s="50">
        <v>0</v>
      </c>
      <c r="X69" s="43"/>
      <c r="Y69" s="43"/>
      <c r="Z69" s="43"/>
      <c r="AA69" s="43"/>
      <c r="AB69" s="43"/>
      <c r="AC69" s="43"/>
    </row>
    <row r="70" spans="1:29" x14ac:dyDescent="0.3">
      <c r="A70" s="43"/>
      <c r="B70" s="45" t="s">
        <v>211</v>
      </c>
      <c r="C70" s="48">
        <v>45992</v>
      </c>
      <c r="D70" s="49" t="s">
        <v>149</v>
      </c>
      <c r="E70" s="49" t="s">
        <v>70</v>
      </c>
      <c r="F70" s="49" t="s">
        <v>72</v>
      </c>
      <c r="G70" s="49" t="s">
        <v>141</v>
      </c>
      <c r="H70" s="49" t="s">
        <v>82</v>
      </c>
      <c r="I70" s="49" t="s">
        <v>80</v>
      </c>
      <c r="J70" s="49" t="s">
        <v>81</v>
      </c>
      <c r="K70" s="49">
        <v>1</v>
      </c>
      <c r="L70" s="49">
        <v>40</v>
      </c>
      <c r="M70" s="49">
        <v>0.05</v>
      </c>
      <c r="N70" s="49">
        <v>40</v>
      </c>
      <c r="O70" s="49">
        <v>38</v>
      </c>
      <c r="P70" s="49">
        <v>28.08</v>
      </c>
      <c r="Q70" s="49">
        <v>9.92</v>
      </c>
      <c r="R70" s="49">
        <v>0.2611</v>
      </c>
      <c r="S70" s="49">
        <v>0.7389</v>
      </c>
      <c r="T70" s="49">
        <v>30</v>
      </c>
      <c r="U70" s="49">
        <v>5.28E-2</v>
      </c>
      <c r="V70" s="49">
        <v>0</v>
      </c>
      <c r="W70" s="50">
        <v>0</v>
      </c>
      <c r="X70" s="43"/>
      <c r="Y70" s="43"/>
      <c r="Z70" s="43"/>
      <c r="AA70" s="43"/>
      <c r="AB70" s="43"/>
      <c r="AC70" s="43"/>
    </row>
    <row r="71" spans="1:29" x14ac:dyDescent="0.3">
      <c r="A71" s="43"/>
      <c r="B71" s="45" t="s">
        <v>212</v>
      </c>
      <c r="C71" s="48">
        <v>45479</v>
      </c>
      <c r="D71" s="49" t="s">
        <v>151</v>
      </c>
      <c r="E71" s="49" t="s">
        <v>70</v>
      </c>
      <c r="F71" s="49" t="s">
        <v>76</v>
      </c>
      <c r="G71" s="49" t="s">
        <v>153</v>
      </c>
      <c r="H71" s="49" t="s">
        <v>84</v>
      </c>
      <c r="I71" s="49" t="s">
        <v>80</v>
      </c>
      <c r="J71" s="49" t="s">
        <v>81</v>
      </c>
      <c r="K71" s="49">
        <v>4</v>
      </c>
      <c r="L71" s="49">
        <v>150</v>
      </c>
      <c r="M71" s="49">
        <v>0.1</v>
      </c>
      <c r="N71" s="49">
        <v>600</v>
      </c>
      <c r="O71" s="49">
        <v>540</v>
      </c>
      <c r="P71" s="49">
        <v>363.84</v>
      </c>
      <c r="Q71" s="49">
        <v>176.16</v>
      </c>
      <c r="R71" s="49">
        <v>0.32619999999999999</v>
      </c>
      <c r="S71" s="49">
        <v>0.67379999999999995</v>
      </c>
      <c r="T71" s="49">
        <v>361</v>
      </c>
      <c r="U71" s="49">
        <v>0.53569999999999995</v>
      </c>
      <c r="V71" s="49">
        <v>0</v>
      </c>
      <c r="W71" s="50">
        <v>0</v>
      </c>
      <c r="X71" s="43"/>
      <c r="Y71" s="43"/>
      <c r="Z71" s="43"/>
      <c r="AA71" s="43"/>
      <c r="AB71" s="43"/>
      <c r="AC71" s="43"/>
    </row>
    <row r="72" spans="1:29" x14ac:dyDescent="0.3">
      <c r="A72" s="43"/>
      <c r="B72" s="45" t="s">
        <v>213</v>
      </c>
      <c r="C72" s="48">
        <v>45854</v>
      </c>
      <c r="D72" s="49" t="s">
        <v>161</v>
      </c>
      <c r="E72" s="49" t="s">
        <v>68</v>
      </c>
      <c r="F72" s="49" t="s">
        <v>76</v>
      </c>
      <c r="G72" s="49" t="s">
        <v>147</v>
      </c>
      <c r="H72" s="49" t="s">
        <v>79</v>
      </c>
      <c r="I72" s="49" t="s">
        <v>80</v>
      </c>
      <c r="J72" s="49" t="s">
        <v>86</v>
      </c>
      <c r="K72" s="49">
        <v>3</v>
      </c>
      <c r="L72" s="49">
        <v>150</v>
      </c>
      <c r="M72" s="49">
        <v>0</v>
      </c>
      <c r="N72" s="49">
        <v>450</v>
      </c>
      <c r="O72" s="49">
        <v>450</v>
      </c>
      <c r="P72" s="49">
        <v>313.39999999999998</v>
      </c>
      <c r="Q72" s="49">
        <v>136.6</v>
      </c>
      <c r="R72" s="49">
        <v>0.30359999999999998</v>
      </c>
      <c r="S72" s="49">
        <v>0.69640000000000002</v>
      </c>
      <c r="T72" s="49">
        <v>526</v>
      </c>
      <c r="U72" s="49">
        <v>0.44640000000000002</v>
      </c>
      <c r="V72" s="49">
        <v>0</v>
      </c>
      <c r="W72" s="50">
        <v>0</v>
      </c>
      <c r="X72" s="43"/>
      <c r="Y72" s="43"/>
      <c r="Z72" s="43"/>
      <c r="AA72" s="43"/>
      <c r="AB72" s="43"/>
      <c r="AC72" s="43"/>
    </row>
    <row r="73" spans="1:29" x14ac:dyDescent="0.3">
      <c r="A73" s="43"/>
      <c r="B73" s="45" t="s">
        <v>214</v>
      </c>
      <c r="C73" s="48">
        <v>45640</v>
      </c>
      <c r="D73" s="49" t="s">
        <v>140</v>
      </c>
      <c r="E73" s="49" t="s">
        <v>71</v>
      </c>
      <c r="F73" s="49" t="s">
        <v>76</v>
      </c>
      <c r="G73" s="49" t="s">
        <v>141</v>
      </c>
      <c r="H73" s="49" t="s">
        <v>82</v>
      </c>
      <c r="I73" s="49" t="s">
        <v>83</v>
      </c>
      <c r="J73" s="49" t="s">
        <v>86</v>
      </c>
      <c r="K73" s="49">
        <v>2</v>
      </c>
      <c r="L73" s="49">
        <v>200</v>
      </c>
      <c r="M73" s="49">
        <v>0.05</v>
      </c>
      <c r="N73" s="49">
        <v>400</v>
      </c>
      <c r="O73" s="49">
        <v>380</v>
      </c>
      <c r="P73" s="49">
        <v>264.33999999999997</v>
      </c>
      <c r="Q73" s="49">
        <v>115.66</v>
      </c>
      <c r="R73" s="49">
        <v>0.3044</v>
      </c>
      <c r="S73" s="49">
        <v>0.6956</v>
      </c>
      <c r="T73" s="49">
        <v>329</v>
      </c>
      <c r="U73" s="49">
        <v>0.35189999999999999</v>
      </c>
      <c r="V73" s="49">
        <v>1</v>
      </c>
      <c r="W73" s="50">
        <v>0.5</v>
      </c>
      <c r="X73" s="43"/>
      <c r="Y73" s="43"/>
      <c r="Z73" s="43"/>
      <c r="AA73" s="43"/>
      <c r="AB73" s="43"/>
      <c r="AC73" s="43"/>
    </row>
    <row r="74" spans="1:29" x14ac:dyDescent="0.3">
      <c r="A74" s="43"/>
      <c r="B74" s="45" t="s">
        <v>215</v>
      </c>
      <c r="C74" s="48">
        <v>45776</v>
      </c>
      <c r="D74" s="49" t="s">
        <v>140</v>
      </c>
      <c r="E74" s="49" t="s">
        <v>71</v>
      </c>
      <c r="F74" s="49" t="s">
        <v>74</v>
      </c>
      <c r="G74" s="49" t="s">
        <v>183</v>
      </c>
      <c r="H74" s="49" t="s">
        <v>79</v>
      </c>
      <c r="I74" s="49" t="s">
        <v>80</v>
      </c>
      <c r="J74" s="49" t="s">
        <v>81</v>
      </c>
      <c r="K74" s="49">
        <v>2</v>
      </c>
      <c r="L74" s="49">
        <v>80</v>
      </c>
      <c r="M74" s="49">
        <v>0</v>
      </c>
      <c r="N74" s="49">
        <v>160</v>
      </c>
      <c r="O74" s="49">
        <v>160</v>
      </c>
      <c r="P74" s="49">
        <v>85.04</v>
      </c>
      <c r="Q74" s="49">
        <v>74.959999999999994</v>
      </c>
      <c r="R74" s="49">
        <v>0.46850000000000003</v>
      </c>
      <c r="S74" s="49">
        <v>0.53149999999999997</v>
      </c>
      <c r="T74" s="49">
        <v>171</v>
      </c>
      <c r="U74" s="49">
        <v>0.20300000000000001</v>
      </c>
      <c r="V74" s="49">
        <v>1</v>
      </c>
      <c r="W74" s="50">
        <v>0.5</v>
      </c>
      <c r="X74" s="43"/>
      <c r="Y74" s="43"/>
      <c r="Z74" s="43"/>
      <c r="AA74" s="43"/>
      <c r="AB74" s="43"/>
      <c r="AC74" s="43"/>
    </row>
    <row r="75" spans="1:29" x14ac:dyDescent="0.3">
      <c r="A75" s="43"/>
      <c r="B75" s="45" t="s">
        <v>216</v>
      </c>
      <c r="C75" s="48">
        <v>45943</v>
      </c>
      <c r="D75" s="49" t="s">
        <v>161</v>
      </c>
      <c r="E75" s="49" t="s">
        <v>68</v>
      </c>
      <c r="F75" s="49" t="s">
        <v>75</v>
      </c>
      <c r="G75" s="49" t="s">
        <v>144</v>
      </c>
      <c r="H75" s="49" t="s">
        <v>84</v>
      </c>
      <c r="I75" s="49" t="s">
        <v>80</v>
      </c>
      <c r="J75" s="49" t="s">
        <v>81</v>
      </c>
      <c r="K75" s="49">
        <v>5</v>
      </c>
      <c r="L75" s="49">
        <v>150</v>
      </c>
      <c r="M75" s="49">
        <v>0.05</v>
      </c>
      <c r="N75" s="49">
        <v>750</v>
      </c>
      <c r="O75" s="49">
        <v>712.5</v>
      </c>
      <c r="P75" s="49">
        <v>514.70000000000005</v>
      </c>
      <c r="Q75" s="49">
        <v>197.8</v>
      </c>
      <c r="R75" s="49">
        <v>0.27760000000000001</v>
      </c>
      <c r="S75" s="49">
        <v>0.72240000000000004</v>
      </c>
      <c r="T75" s="49">
        <v>416</v>
      </c>
      <c r="U75" s="49">
        <v>0.91349999999999998</v>
      </c>
      <c r="V75" s="49">
        <v>0</v>
      </c>
      <c r="W75" s="50">
        <v>0</v>
      </c>
      <c r="X75" s="43"/>
      <c r="Y75" s="43"/>
      <c r="Z75" s="43"/>
      <c r="AA75" s="43"/>
      <c r="AB75" s="43"/>
      <c r="AC75" s="43"/>
    </row>
    <row r="76" spans="1:29" x14ac:dyDescent="0.3">
      <c r="A76" s="43"/>
      <c r="B76" s="45" t="s">
        <v>217</v>
      </c>
      <c r="C76" s="48">
        <v>45409</v>
      </c>
      <c r="D76" s="49" t="s">
        <v>137</v>
      </c>
      <c r="E76" s="49" t="s">
        <v>71</v>
      </c>
      <c r="F76" s="49" t="s">
        <v>76</v>
      </c>
      <c r="G76" s="49" t="s">
        <v>153</v>
      </c>
      <c r="H76" s="49" t="s">
        <v>85</v>
      </c>
      <c r="I76" s="49" t="s">
        <v>80</v>
      </c>
      <c r="J76" s="49" t="s">
        <v>86</v>
      </c>
      <c r="K76" s="49">
        <v>2</v>
      </c>
      <c r="L76" s="49">
        <v>100</v>
      </c>
      <c r="M76" s="49">
        <v>0.03</v>
      </c>
      <c r="N76" s="49">
        <v>200</v>
      </c>
      <c r="O76" s="49">
        <v>194</v>
      </c>
      <c r="P76" s="49">
        <v>123.96</v>
      </c>
      <c r="Q76" s="49">
        <v>70.040000000000006</v>
      </c>
      <c r="R76" s="49">
        <v>0.36099999999999999</v>
      </c>
      <c r="S76" s="49">
        <v>0.63900000000000001</v>
      </c>
      <c r="T76" s="49">
        <v>153</v>
      </c>
      <c r="U76" s="49">
        <v>0.20530000000000001</v>
      </c>
      <c r="V76" s="49">
        <v>0</v>
      </c>
      <c r="W76" s="50">
        <v>0</v>
      </c>
      <c r="X76" s="43"/>
      <c r="Y76" s="43"/>
      <c r="Z76" s="43"/>
      <c r="AA76" s="43"/>
      <c r="AB76" s="43"/>
      <c r="AC76" s="43"/>
    </row>
    <row r="77" spans="1:29" x14ac:dyDescent="0.3">
      <c r="A77" s="43"/>
      <c r="B77" s="45" t="s">
        <v>218</v>
      </c>
      <c r="C77" s="48">
        <v>45322</v>
      </c>
      <c r="D77" s="49" t="s">
        <v>140</v>
      </c>
      <c r="E77" s="49" t="s">
        <v>71</v>
      </c>
      <c r="F77" s="49" t="s">
        <v>76</v>
      </c>
      <c r="G77" s="49" t="s">
        <v>147</v>
      </c>
      <c r="H77" s="49" t="s">
        <v>84</v>
      </c>
      <c r="I77" s="49" t="s">
        <v>83</v>
      </c>
      <c r="J77" s="49" t="s">
        <v>81</v>
      </c>
      <c r="K77" s="49">
        <v>4</v>
      </c>
      <c r="L77" s="49">
        <v>200</v>
      </c>
      <c r="M77" s="49">
        <v>0.1</v>
      </c>
      <c r="N77" s="49">
        <v>800</v>
      </c>
      <c r="O77" s="49">
        <v>720</v>
      </c>
      <c r="P77" s="49">
        <v>412.62</v>
      </c>
      <c r="Q77" s="49">
        <v>307.38</v>
      </c>
      <c r="R77" s="49">
        <v>0.4269</v>
      </c>
      <c r="S77" s="49">
        <v>0.57310000000000005</v>
      </c>
      <c r="T77" s="49">
        <v>742</v>
      </c>
      <c r="U77" s="49">
        <v>0.8</v>
      </c>
      <c r="V77" s="49">
        <v>0</v>
      </c>
      <c r="W77" s="50">
        <v>0</v>
      </c>
      <c r="X77" s="43"/>
      <c r="Y77" s="43"/>
      <c r="Z77" s="43"/>
      <c r="AA77" s="43"/>
      <c r="AB77" s="43"/>
      <c r="AC77" s="43"/>
    </row>
    <row r="78" spans="1:29" x14ac:dyDescent="0.3">
      <c r="A78" s="43"/>
      <c r="B78" s="45" t="s">
        <v>219</v>
      </c>
      <c r="C78" s="48">
        <v>45690</v>
      </c>
      <c r="D78" s="49" t="s">
        <v>137</v>
      </c>
      <c r="E78" s="49" t="s">
        <v>71</v>
      </c>
      <c r="F78" s="49" t="s">
        <v>74</v>
      </c>
      <c r="G78" s="49" t="s">
        <v>147</v>
      </c>
      <c r="H78" s="49" t="s">
        <v>82</v>
      </c>
      <c r="I78" s="49" t="s">
        <v>80</v>
      </c>
      <c r="J78" s="49" t="s">
        <v>81</v>
      </c>
      <c r="K78" s="49">
        <v>7</v>
      </c>
      <c r="L78" s="49">
        <v>300</v>
      </c>
      <c r="M78" s="49">
        <v>0.03</v>
      </c>
      <c r="N78" s="49">
        <v>2100</v>
      </c>
      <c r="O78" s="49">
        <v>2037</v>
      </c>
      <c r="P78" s="49">
        <v>1220.01</v>
      </c>
      <c r="Q78" s="49">
        <v>816.99</v>
      </c>
      <c r="R78" s="49">
        <v>0.40110000000000001</v>
      </c>
      <c r="S78" s="49">
        <v>0.59889999999999999</v>
      </c>
      <c r="T78" s="49">
        <v>2110</v>
      </c>
      <c r="U78" s="49">
        <v>2.7160000000000002</v>
      </c>
      <c r="V78" s="49">
        <v>0</v>
      </c>
      <c r="W78" s="50">
        <v>0</v>
      </c>
      <c r="X78" s="43"/>
      <c r="Y78" s="43"/>
      <c r="Z78" s="43"/>
      <c r="AA78" s="43"/>
      <c r="AB78" s="43"/>
      <c r="AC78" s="43"/>
    </row>
    <row r="79" spans="1:29" x14ac:dyDescent="0.3">
      <c r="A79" s="43"/>
      <c r="B79" s="45" t="s">
        <v>220</v>
      </c>
      <c r="C79" s="48">
        <v>45379</v>
      </c>
      <c r="D79" s="49" t="s">
        <v>143</v>
      </c>
      <c r="E79" s="49" t="s">
        <v>69</v>
      </c>
      <c r="F79" s="49" t="s">
        <v>74</v>
      </c>
      <c r="G79" s="49" t="s">
        <v>147</v>
      </c>
      <c r="H79" s="49" t="s">
        <v>79</v>
      </c>
      <c r="I79" s="49" t="s">
        <v>80</v>
      </c>
      <c r="J79" s="49" t="s">
        <v>86</v>
      </c>
      <c r="K79" s="49">
        <v>5</v>
      </c>
      <c r="L79" s="49">
        <v>40</v>
      </c>
      <c r="M79" s="49">
        <v>0.05</v>
      </c>
      <c r="N79" s="49">
        <v>200</v>
      </c>
      <c r="O79" s="49">
        <v>190</v>
      </c>
      <c r="P79" s="49">
        <v>116.45</v>
      </c>
      <c r="Q79" s="49">
        <v>73.55</v>
      </c>
      <c r="R79" s="49">
        <v>0.3871</v>
      </c>
      <c r="S79" s="49">
        <v>0.6129</v>
      </c>
      <c r="T79" s="49">
        <v>224</v>
      </c>
      <c r="U79" s="49">
        <v>0.25330000000000003</v>
      </c>
      <c r="V79" s="49">
        <v>0</v>
      </c>
      <c r="W79" s="50">
        <v>0</v>
      </c>
      <c r="X79" s="43"/>
      <c r="Y79" s="43"/>
      <c r="Z79" s="43"/>
      <c r="AA79" s="43"/>
      <c r="AB79" s="43"/>
      <c r="AC79" s="43"/>
    </row>
    <row r="80" spans="1:29" x14ac:dyDescent="0.3">
      <c r="A80" s="43"/>
      <c r="B80" s="45" t="s">
        <v>221</v>
      </c>
      <c r="C80" s="48">
        <v>45697</v>
      </c>
      <c r="D80" s="49" t="s">
        <v>143</v>
      </c>
      <c r="E80" s="49" t="s">
        <v>69</v>
      </c>
      <c r="F80" s="49" t="s">
        <v>72</v>
      </c>
      <c r="G80" s="49" t="s">
        <v>183</v>
      </c>
      <c r="H80" s="49" t="s">
        <v>79</v>
      </c>
      <c r="I80" s="49" t="s">
        <v>83</v>
      </c>
      <c r="J80" s="49" t="s">
        <v>81</v>
      </c>
      <c r="K80" s="49">
        <v>3</v>
      </c>
      <c r="L80" s="49">
        <v>80</v>
      </c>
      <c r="M80" s="49">
        <v>0.05</v>
      </c>
      <c r="N80" s="49">
        <v>240</v>
      </c>
      <c r="O80" s="49">
        <v>228</v>
      </c>
      <c r="P80" s="49">
        <v>141.49</v>
      </c>
      <c r="Q80" s="49">
        <v>86.51</v>
      </c>
      <c r="R80" s="49">
        <v>0.37940000000000002</v>
      </c>
      <c r="S80" s="49">
        <v>0.62060000000000004</v>
      </c>
      <c r="T80" s="49">
        <v>239</v>
      </c>
      <c r="U80" s="49">
        <v>0.38</v>
      </c>
      <c r="V80" s="49">
        <v>0</v>
      </c>
      <c r="W80" s="50">
        <v>0</v>
      </c>
      <c r="X80" s="43"/>
      <c r="Y80" s="43"/>
      <c r="Z80" s="43"/>
      <c r="AA80" s="43"/>
      <c r="AB80" s="43"/>
      <c r="AC80" s="43"/>
    </row>
    <row r="81" spans="1:29" x14ac:dyDescent="0.3">
      <c r="A81" s="43"/>
      <c r="B81" s="45" t="s">
        <v>222</v>
      </c>
      <c r="C81" s="48">
        <v>45478</v>
      </c>
      <c r="D81" s="49" t="s">
        <v>143</v>
      </c>
      <c r="E81" s="49" t="s">
        <v>69</v>
      </c>
      <c r="F81" s="49" t="s">
        <v>74</v>
      </c>
      <c r="G81" s="49" t="s">
        <v>138</v>
      </c>
      <c r="H81" s="49" t="s">
        <v>85</v>
      </c>
      <c r="I81" s="49" t="s">
        <v>83</v>
      </c>
      <c r="J81" s="49" t="s">
        <v>86</v>
      </c>
      <c r="K81" s="49">
        <v>3</v>
      </c>
      <c r="L81" s="49">
        <v>80</v>
      </c>
      <c r="M81" s="49">
        <v>0</v>
      </c>
      <c r="N81" s="49">
        <v>240</v>
      </c>
      <c r="O81" s="49">
        <v>240</v>
      </c>
      <c r="P81" s="49">
        <v>143.91</v>
      </c>
      <c r="Q81" s="49">
        <v>96.09</v>
      </c>
      <c r="R81" s="49">
        <v>0.40039999999999998</v>
      </c>
      <c r="S81" s="49">
        <v>0.59960000000000002</v>
      </c>
      <c r="T81" s="49">
        <v>255</v>
      </c>
      <c r="U81" s="49">
        <v>0.28570000000000001</v>
      </c>
      <c r="V81" s="49">
        <v>0</v>
      </c>
      <c r="W81" s="50">
        <v>0</v>
      </c>
      <c r="X81" s="43"/>
      <c r="Y81" s="43"/>
      <c r="Z81" s="43"/>
      <c r="AA81" s="43"/>
      <c r="AB81" s="43"/>
      <c r="AC81" s="43"/>
    </row>
    <row r="82" spans="1:29" x14ac:dyDescent="0.3">
      <c r="A82" s="43"/>
      <c r="B82" s="45" t="s">
        <v>223</v>
      </c>
      <c r="C82" s="48">
        <v>45835</v>
      </c>
      <c r="D82" s="49" t="s">
        <v>149</v>
      </c>
      <c r="E82" s="49" t="s">
        <v>70</v>
      </c>
      <c r="F82" s="49" t="s">
        <v>74</v>
      </c>
      <c r="G82" s="49" t="s">
        <v>144</v>
      </c>
      <c r="H82" s="49" t="s">
        <v>85</v>
      </c>
      <c r="I82" s="49" t="s">
        <v>83</v>
      </c>
      <c r="J82" s="49" t="s">
        <v>86</v>
      </c>
      <c r="K82" s="49">
        <v>4</v>
      </c>
      <c r="L82" s="49">
        <v>60</v>
      </c>
      <c r="M82" s="49">
        <v>0.05</v>
      </c>
      <c r="N82" s="49">
        <v>240</v>
      </c>
      <c r="O82" s="49">
        <v>228</v>
      </c>
      <c r="P82" s="49">
        <v>128.53</v>
      </c>
      <c r="Q82" s="49">
        <v>99.47</v>
      </c>
      <c r="R82" s="49">
        <v>0.43630000000000002</v>
      </c>
      <c r="S82" s="49">
        <v>0.56369999999999998</v>
      </c>
      <c r="T82" s="49">
        <v>344</v>
      </c>
      <c r="U82" s="49">
        <v>0.2893</v>
      </c>
      <c r="V82" s="49">
        <v>0</v>
      </c>
      <c r="W82" s="50">
        <v>0</v>
      </c>
      <c r="X82" s="43"/>
      <c r="Y82" s="43"/>
      <c r="Z82" s="43"/>
      <c r="AA82" s="43"/>
      <c r="AB82" s="43"/>
      <c r="AC82" s="43"/>
    </row>
    <row r="83" spans="1:29" x14ac:dyDescent="0.3">
      <c r="A83" s="43"/>
      <c r="B83" s="45" t="s">
        <v>224</v>
      </c>
      <c r="C83" s="48">
        <v>45771</v>
      </c>
      <c r="D83" s="49" t="s">
        <v>149</v>
      </c>
      <c r="E83" s="49" t="s">
        <v>70</v>
      </c>
      <c r="F83" s="49" t="s">
        <v>74</v>
      </c>
      <c r="G83" s="49" t="s">
        <v>144</v>
      </c>
      <c r="H83" s="49" t="s">
        <v>84</v>
      </c>
      <c r="I83" s="49" t="s">
        <v>80</v>
      </c>
      <c r="J83" s="49" t="s">
        <v>81</v>
      </c>
      <c r="K83" s="49">
        <v>2</v>
      </c>
      <c r="L83" s="49">
        <v>40</v>
      </c>
      <c r="M83" s="49">
        <v>0</v>
      </c>
      <c r="N83" s="49">
        <v>80</v>
      </c>
      <c r="O83" s="49">
        <v>80</v>
      </c>
      <c r="P83" s="49">
        <v>45.39</v>
      </c>
      <c r="Q83" s="49">
        <v>34.61</v>
      </c>
      <c r="R83" s="49">
        <v>0.43259999999999998</v>
      </c>
      <c r="S83" s="49">
        <v>0.56740000000000002</v>
      </c>
      <c r="T83" s="49">
        <v>84</v>
      </c>
      <c r="U83" s="49">
        <v>0.10150000000000001</v>
      </c>
      <c r="V83" s="49">
        <v>0</v>
      </c>
      <c r="W83" s="50">
        <v>0</v>
      </c>
      <c r="X83" s="43"/>
      <c r="Y83" s="43"/>
      <c r="Z83" s="43"/>
      <c r="AA83" s="43"/>
      <c r="AB83" s="43"/>
      <c r="AC83" s="43"/>
    </row>
    <row r="84" spans="1:29" x14ac:dyDescent="0.3">
      <c r="A84" s="43"/>
      <c r="B84" s="45" t="s">
        <v>225</v>
      </c>
      <c r="C84" s="48">
        <v>45474</v>
      </c>
      <c r="D84" s="49" t="s">
        <v>140</v>
      </c>
      <c r="E84" s="49" t="s">
        <v>71</v>
      </c>
      <c r="F84" s="49" t="s">
        <v>75</v>
      </c>
      <c r="G84" s="49" t="s">
        <v>147</v>
      </c>
      <c r="H84" s="49" t="s">
        <v>84</v>
      </c>
      <c r="I84" s="49" t="s">
        <v>80</v>
      </c>
      <c r="J84" s="49" t="s">
        <v>81</v>
      </c>
      <c r="K84" s="49">
        <v>4</v>
      </c>
      <c r="L84" s="49">
        <v>150</v>
      </c>
      <c r="M84" s="49">
        <v>0.05</v>
      </c>
      <c r="N84" s="49">
        <v>600</v>
      </c>
      <c r="O84" s="49">
        <v>570</v>
      </c>
      <c r="P84" s="49">
        <v>293.19</v>
      </c>
      <c r="Q84" s="49">
        <v>276.81</v>
      </c>
      <c r="R84" s="49">
        <v>0.48559999999999998</v>
      </c>
      <c r="S84" s="49">
        <v>0.51439999999999997</v>
      </c>
      <c r="T84" s="49">
        <v>450</v>
      </c>
      <c r="U84" s="49">
        <v>0.78300000000000003</v>
      </c>
      <c r="V84" s="49">
        <v>0</v>
      </c>
      <c r="W84" s="50">
        <v>0</v>
      </c>
      <c r="X84" s="43"/>
      <c r="Y84" s="43"/>
      <c r="Z84" s="43"/>
      <c r="AA84" s="43"/>
      <c r="AB84" s="43"/>
      <c r="AC84" s="43"/>
    </row>
    <row r="85" spans="1:29" x14ac:dyDescent="0.3">
      <c r="A85" s="43"/>
      <c r="B85" s="45" t="s">
        <v>226</v>
      </c>
      <c r="C85" s="48">
        <v>45683</v>
      </c>
      <c r="D85" s="49" t="s">
        <v>140</v>
      </c>
      <c r="E85" s="49" t="s">
        <v>71</v>
      </c>
      <c r="F85" s="49" t="s">
        <v>72</v>
      </c>
      <c r="G85" s="49" t="s">
        <v>153</v>
      </c>
      <c r="H85" s="49" t="s">
        <v>85</v>
      </c>
      <c r="I85" s="49" t="s">
        <v>80</v>
      </c>
      <c r="J85" s="49" t="s">
        <v>86</v>
      </c>
      <c r="K85" s="49">
        <v>4</v>
      </c>
      <c r="L85" s="49">
        <v>100</v>
      </c>
      <c r="M85" s="49">
        <v>0.08</v>
      </c>
      <c r="N85" s="49">
        <v>400</v>
      </c>
      <c r="O85" s="49">
        <v>368</v>
      </c>
      <c r="P85" s="49">
        <v>256.68</v>
      </c>
      <c r="Q85" s="49">
        <v>111.32</v>
      </c>
      <c r="R85" s="49">
        <v>0.30249999999999999</v>
      </c>
      <c r="S85" s="49">
        <v>0.69750000000000001</v>
      </c>
      <c r="T85" s="49">
        <v>397</v>
      </c>
      <c r="U85" s="49">
        <v>0.61329999999999996</v>
      </c>
      <c r="V85" s="49">
        <v>0</v>
      </c>
      <c r="W85" s="50">
        <v>0</v>
      </c>
      <c r="X85" s="43"/>
      <c r="Y85" s="43"/>
      <c r="Z85" s="43"/>
      <c r="AA85" s="43"/>
      <c r="AB85" s="43"/>
      <c r="AC85" s="43"/>
    </row>
    <row r="86" spans="1:29" x14ac:dyDescent="0.3">
      <c r="A86" s="43"/>
      <c r="B86" s="45" t="s">
        <v>227</v>
      </c>
      <c r="C86" s="48">
        <v>45713</v>
      </c>
      <c r="D86" s="49" t="s">
        <v>161</v>
      </c>
      <c r="E86" s="49" t="s">
        <v>68</v>
      </c>
      <c r="F86" s="49" t="s">
        <v>74</v>
      </c>
      <c r="G86" s="49" t="s">
        <v>147</v>
      </c>
      <c r="H86" s="49" t="s">
        <v>82</v>
      </c>
      <c r="I86" s="49" t="s">
        <v>83</v>
      </c>
      <c r="J86" s="49" t="s">
        <v>81</v>
      </c>
      <c r="K86" s="49">
        <v>3</v>
      </c>
      <c r="L86" s="49">
        <v>40</v>
      </c>
      <c r="M86" s="49">
        <v>0</v>
      </c>
      <c r="N86" s="49">
        <v>120</v>
      </c>
      <c r="O86" s="49">
        <v>120</v>
      </c>
      <c r="P86" s="49">
        <v>74.66</v>
      </c>
      <c r="Q86" s="49">
        <v>45.34</v>
      </c>
      <c r="R86" s="49">
        <v>0.37780000000000002</v>
      </c>
      <c r="S86" s="49">
        <v>0.62219999999999998</v>
      </c>
      <c r="T86" s="49">
        <v>141</v>
      </c>
      <c r="U86" s="49">
        <v>0.16</v>
      </c>
      <c r="V86" s="49">
        <v>0</v>
      </c>
      <c r="W86" s="50">
        <v>0</v>
      </c>
      <c r="X86" s="43"/>
      <c r="Y86" s="43"/>
      <c r="Z86" s="43"/>
      <c r="AA86" s="43"/>
      <c r="AB86" s="43"/>
      <c r="AC86" s="43"/>
    </row>
    <row r="87" spans="1:29" x14ac:dyDescent="0.3">
      <c r="A87" s="43"/>
      <c r="B87" s="45" t="s">
        <v>228</v>
      </c>
      <c r="C87" s="48">
        <v>45934</v>
      </c>
      <c r="D87" s="49" t="s">
        <v>143</v>
      </c>
      <c r="E87" s="49" t="s">
        <v>69</v>
      </c>
      <c r="F87" s="49" t="s">
        <v>74</v>
      </c>
      <c r="G87" s="49" t="s">
        <v>147</v>
      </c>
      <c r="H87" s="49" t="s">
        <v>84</v>
      </c>
      <c r="I87" s="49" t="s">
        <v>83</v>
      </c>
      <c r="J87" s="49" t="s">
        <v>86</v>
      </c>
      <c r="K87" s="49">
        <v>3</v>
      </c>
      <c r="L87" s="49">
        <v>150</v>
      </c>
      <c r="M87" s="49">
        <v>0.03</v>
      </c>
      <c r="N87" s="49">
        <v>450</v>
      </c>
      <c r="O87" s="49">
        <v>436.5</v>
      </c>
      <c r="P87" s="49">
        <v>338.93</v>
      </c>
      <c r="Q87" s="49">
        <v>97.57</v>
      </c>
      <c r="R87" s="49">
        <v>0.2235</v>
      </c>
      <c r="S87" s="49">
        <v>0.77649999999999997</v>
      </c>
      <c r="T87" s="49">
        <v>537</v>
      </c>
      <c r="U87" s="49">
        <v>0.48499999999999999</v>
      </c>
      <c r="V87" s="49">
        <v>0</v>
      </c>
      <c r="W87" s="50">
        <v>0</v>
      </c>
      <c r="X87" s="43"/>
      <c r="Y87" s="43"/>
      <c r="Z87" s="43"/>
      <c r="AA87" s="43"/>
      <c r="AB87" s="43"/>
      <c r="AC87" s="43"/>
    </row>
    <row r="88" spans="1:29" x14ac:dyDescent="0.3">
      <c r="A88" s="43"/>
      <c r="B88" s="45" t="s">
        <v>229</v>
      </c>
      <c r="C88" s="48">
        <v>45306</v>
      </c>
      <c r="D88" s="49" t="s">
        <v>151</v>
      </c>
      <c r="E88" s="49" t="s">
        <v>70</v>
      </c>
      <c r="F88" s="49" t="s">
        <v>73</v>
      </c>
      <c r="G88" s="49" t="s">
        <v>144</v>
      </c>
      <c r="H88" s="49" t="s">
        <v>79</v>
      </c>
      <c r="I88" s="49" t="s">
        <v>80</v>
      </c>
      <c r="J88" s="49" t="s">
        <v>81</v>
      </c>
      <c r="K88" s="49">
        <v>1</v>
      </c>
      <c r="L88" s="49">
        <v>40</v>
      </c>
      <c r="M88" s="49">
        <v>0.08</v>
      </c>
      <c r="N88" s="49">
        <v>40</v>
      </c>
      <c r="O88" s="49">
        <v>36.799999999999997</v>
      </c>
      <c r="P88" s="49">
        <v>28.09</v>
      </c>
      <c r="Q88" s="49">
        <v>8.7100000000000009</v>
      </c>
      <c r="R88" s="49">
        <v>0.23669999999999999</v>
      </c>
      <c r="S88" s="49">
        <v>0.76329999999999998</v>
      </c>
      <c r="T88" s="49">
        <v>39</v>
      </c>
      <c r="U88" s="49">
        <v>4.5999999999999999E-2</v>
      </c>
      <c r="V88" s="49">
        <v>0</v>
      </c>
      <c r="W88" s="50">
        <v>0</v>
      </c>
      <c r="X88" s="43"/>
      <c r="Y88" s="43"/>
      <c r="Z88" s="43"/>
      <c r="AA88" s="43"/>
      <c r="AB88" s="43"/>
      <c r="AC88" s="43"/>
    </row>
    <row r="89" spans="1:29" x14ac:dyDescent="0.3">
      <c r="A89" s="43"/>
      <c r="B89" s="45" t="s">
        <v>230</v>
      </c>
      <c r="C89" s="48">
        <v>46000</v>
      </c>
      <c r="D89" s="49" t="s">
        <v>151</v>
      </c>
      <c r="E89" s="49" t="s">
        <v>70</v>
      </c>
      <c r="F89" s="49" t="s">
        <v>73</v>
      </c>
      <c r="G89" s="49" t="s">
        <v>141</v>
      </c>
      <c r="H89" s="49" t="s">
        <v>82</v>
      </c>
      <c r="I89" s="49" t="s">
        <v>80</v>
      </c>
      <c r="J89" s="49" t="s">
        <v>81</v>
      </c>
      <c r="K89" s="49">
        <v>1</v>
      </c>
      <c r="L89" s="49">
        <v>100</v>
      </c>
      <c r="M89" s="49">
        <v>0.1</v>
      </c>
      <c r="N89" s="49">
        <v>100</v>
      </c>
      <c r="O89" s="49">
        <v>90</v>
      </c>
      <c r="P89" s="49">
        <v>73.8</v>
      </c>
      <c r="Q89" s="49">
        <v>16.2</v>
      </c>
      <c r="R89" s="49">
        <v>0.18</v>
      </c>
      <c r="S89" s="49">
        <v>0.82</v>
      </c>
      <c r="T89" s="49">
        <v>122</v>
      </c>
      <c r="U89" s="49">
        <v>9.3799999999999994E-2</v>
      </c>
      <c r="V89" s="49">
        <v>1</v>
      </c>
      <c r="W89" s="50">
        <v>1</v>
      </c>
      <c r="X89" s="43"/>
      <c r="Y89" s="43"/>
      <c r="Z89" s="43"/>
      <c r="AA89" s="43"/>
      <c r="AB89" s="43"/>
      <c r="AC89" s="43"/>
    </row>
    <row r="90" spans="1:29" x14ac:dyDescent="0.3">
      <c r="A90" s="43"/>
      <c r="B90" s="45" t="s">
        <v>231</v>
      </c>
      <c r="C90" s="48">
        <v>45430</v>
      </c>
      <c r="D90" s="49" t="s">
        <v>149</v>
      </c>
      <c r="E90" s="49" t="s">
        <v>70</v>
      </c>
      <c r="F90" s="49" t="s">
        <v>73</v>
      </c>
      <c r="G90" s="49" t="s">
        <v>153</v>
      </c>
      <c r="H90" s="49" t="s">
        <v>79</v>
      </c>
      <c r="I90" s="49" t="s">
        <v>80</v>
      </c>
      <c r="J90" s="49" t="s">
        <v>81</v>
      </c>
      <c r="K90" s="49">
        <v>5</v>
      </c>
      <c r="L90" s="49">
        <v>60</v>
      </c>
      <c r="M90" s="49">
        <v>0.15</v>
      </c>
      <c r="N90" s="49">
        <v>300</v>
      </c>
      <c r="O90" s="49">
        <v>255</v>
      </c>
      <c r="P90" s="49">
        <v>176.22</v>
      </c>
      <c r="Q90" s="49">
        <v>78.78</v>
      </c>
      <c r="R90" s="49">
        <v>0.30890000000000001</v>
      </c>
      <c r="S90" s="49">
        <v>0.69110000000000005</v>
      </c>
      <c r="T90" s="49">
        <v>310</v>
      </c>
      <c r="U90" s="49">
        <v>0.30359999999999998</v>
      </c>
      <c r="V90" s="49">
        <v>0</v>
      </c>
      <c r="W90" s="50">
        <v>0</v>
      </c>
      <c r="X90" s="43"/>
      <c r="Y90" s="43"/>
      <c r="Z90" s="43"/>
      <c r="AA90" s="43"/>
      <c r="AB90" s="43"/>
      <c r="AC90" s="43"/>
    </row>
    <row r="91" spans="1:29" x14ac:dyDescent="0.3">
      <c r="A91" s="43"/>
      <c r="B91" s="45" t="s">
        <v>232</v>
      </c>
      <c r="C91" s="48">
        <v>45638</v>
      </c>
      <c r="D91" s="49" t="s">
        <v>161</v>
      </c>
      <c r="E91" s="49" t="s">
        <v>68</v>
      </c>
      <c r="F91" s="49" t="s">
        <v>76</v>
      </c>
      <c r="G91" s="49" t="s">
        <v>153</v>
      </c>
      <c r="H91" s="49" t="s">
        <v>84</v>
      </c>
      <c r="I91" s="49" t="s">
        <v>83</v>
      </c>
      <c r="J91" s="49" t="s">
        <v>86</v>
      </c>
      <c r="K91" s="49">
        <v>4</v>
      </c>
      <c r="L91" s="49">
        <v>60</v>
      </c>
      <c r="M91" s="49">
        <v>0</v>
      </c>
      <c r="N91" s="49">
        <v>240</v>
      </c>
      <c r="O91" s="49">
        <v>240</v>
      </c>
      <c r="P91" s="49">
        <v>178.57</v>
      </c>
      <c r="Q91" s="49">
        <v>61.43</v>
      </c>
      <c r="R91" s="49">
        <v>0.25600000000000001</v>
      </c>
      <c r="S91" s="49">
        <v>0.74399999999999999</v>
      </c>
      <c r="T91" s="49">
        <v>186</v>
      </c>
      <c r="U91" s="49">
        <v>0.22220000000000001</v>
      </c>
      <c r="V91" s="49">
        <v>0</v>
      </c>
      <c r="W91" s="50">
        <v>0</v>
      </c>
      <c r="X91" s="43"/>
      <c r="Y91" s="43"/>
      <c r="Z91" s="43"/>
      <c r="AA91" s="43"/>
      <c r="AB91" s="43"/>
      <c r="AC91" s="43"/>
    </row>
    <row r="92" spans="1:29" x14ac:dyDescent="0.3">
      <c r="A92" s="43"/>
      <c r="B92" s="45" t="s">
        <v>233</v>
      </c>
      <c r="C92" s="48">
        <v>45518</v>
      </c>
      <c r="D92" s="49" t="s">
        <v>143</v>
      </c>
      <c r="E92" s="49" t="s">
        <v>69</v>
      </c>
      <c r="F92" s="49" t="s">
        <v>73</v>
      </c>
      <c r="G92" s="49" t="s">
        <v>183</v>
      </c>
      <c r="H92" s="49" t="s">
        <v>85</v>
      </c>
      <c r="I92" s="49" t="s">
        <v>80</v>
      </c>
      <c r="J92" s="49" t="s">
        <v>81</v>
      </c>
      <c r="K92" s="49">
        <v>4</v>
      </c>
      <c r="L92" s="49">
        <v>25</v>
      </c>
      <c r="M92" s="49">
        <v>0</v>
      </c>
      <c r="N92" s="49">
        <v>100</v>
      </c>
      <c r="O92" s="49">
        <v>100</v>
      </c>
      <c r="P92" s="49">
        <v>73.8</v>
      </c>
      <c r="Q92" s="49">
        <v>26.2</v>
      </c>
      <c r="R92" s="49">
        <v>0.26200000000000001</v>
      </c>
      <c r="S92" s="49">
        <v>0.73799999999999999</v>
      </c>
      <c r="T92" s="49">
        <v>133</v>
      </c>
      <c r="U92" s="49">
        <v>0.1116</v>
      </c>
      <c r="V92" s="49">
        <v>0</v>
      </c>
      <c r="W92" s="50">
        <v>0</v>
      </c>
      <c r="X92" s="43"/>
      <c r="Y92" s="43"/>
      <c r="Z92" s="43"/>
      <c r="AA92" s="43"/>
      <c r="AB92" s="43"/>
      <c r="AC92" s="43"/>
    </row>
    <row r="93" spans="1:29" x14ac:dyDescent="0.3">
      <c r="A93" s="43"/>
      <c r="B93" s="45" t="s">
        <v>234</v>
      </c>
      <c r="C93" s="48">
        <v>45522</v>
      </c>
      <c r="D93" s="49" t="s">
        <v>137</v>
      </c>
      <c r="E93" s="49" t="s">
        <v>71</v>
      </c>
      <c r="F93" s="49" t="s">
        <v>74</v>
      </c>
      <c r="G93" s="49" t="s">
        <v>183</v>
      </c>
      <c r="H93" s="49" t="s">
        <v>84</v>
      </c>
      <c r="I93" s="49" t="s">
        <v>83</v>
      </c>
      <c r="J93" s="49" t="s">
        <v>81</v>
      </c>
      <c r="K93" s="49">
        <v>4</v>
      </c>
      <c r="L93" s="49">
        <v>500</v>
      </c>
      <c r="M93" s="49">
        <v>0.15</v>
      </c>
      <c r="N93" s="49">
        <v>2000</v>
      </c>
      <c r="O93" s="49">
        <v>1700</v>
      </c>
      <c r="P93" s="49">
        <v>1323.84</v>
      </c>
      <c r="Q93" s="49">
        <v>376.16</v>
      </c>
      <c r="R93" s="49">
        <v>0.2213</v>
      </c>
      <c r="S93" s="49">
        <v>0.77869999999999995</v>
      </c>
      <c r="T93" s="49">
        <v>1481</v>
      </c>
      <c r="U93" s="49">
        <v>2.0238</v>
      </c>
      <c r="V93" s="49">
        <v>0</v>
      </c>
      <c r="W93" s="50">
        <v>0</v>
      </c>
      <c r="X93" s="43"/>
      <c r="Y93" s="43"/>
      <c r="Z93" s="43"/>
      <c r="AA93" s="43"/>
      <c r="AB93" s="43"/>
      <c r="AC93" s="43"/>
    </row>
    <row r="94" spans="1:29" x14ac:dyDescent="0.3">
      <c r="A94" s="43"/>
      <c r="B94" s="45" t="s">
        <v>235</v>
      </c>
      <c r="C94" s="48">
        <v>45518</v>
      </c>
      <c r="D94" s="49" t="s">
        <v>140</v>
      </c>
      <c r="E94" s="49" t="s">
        <v>71</v>
      </c>
      <c r="F94" s="49" t="s">
        <v>75</v>
      </c>
      <c r="G94" s="49" t="s">
        <v>138</v>
      </c>
      <c r="H94" s="49" t="s">
        <v>82</v>
      </c>
      <c r="I94" s="49" t="s">
        <v>80</v>
      </c>
      <c r="J94" s="49" t="s">
        <v>81</v>
      </c>
      <c r="K94" s="49">
        <v>1</v>
      </c>
      <c r="L94" s="49">
        <v>500</v>
      </c>
      <c r="M94" s="49">
        <v>0</v>
      </c>
      <c r="N94" s="49">
        <v>500</v>
      </c>
      <c r="O94" s="49">
        <v>500</v>
      </c>
      <c r="P94" s="49">
        <v>278</v>
      </c>
      <c r="Q94" s="49">
        <v>222</v>
      </c>
      <c r="R94" s="49">
        <v>0.44400000000000001</v>
      </c>
      <c r="S94" s="49">
        <v>0.55600000000000005</v>
      </c>
      <c r="T94" s="49">
        <v>394</v>
      </c>
      <c r="U94" s="49">
        <v>0.68679999999999997</v>
      </c>
      <c r="V94" s="49">
        <v>0</v>
      </c>
      <c r="W94" s="50">
        <v>0</v>
      </c>
      <c r="X94" s="43"/>
      <c r="Y94" s="43"/>
      <c r="Z94" s="43"/>
      <c r="AA94" s="43"/>
      <c r="AB94" s="43"/>
      <c r="AC94" s="43"/>
    </row>
    <row r="95" spans="1:29" x14ac:dyDescent="0.3">
      <c r="A95" s="43"/>
      <c r="B95" s="45" t="s">
        <v>236</v>
      </c>
      <c r="C95" s="48">
        <v>45975</v>
      </c>
      <c r="D95" s="49" t="s">
        <v>143</v>
      </c>
      <c r="E95" s="49" t="s">
        <v>69</v>
      </c>
      <c r="F95" s="49" t="s">
        <v>73</v>
      </c>
      <c r="G95" s="49" t="s">
        <v>141</v>
      </c>
      <c r="H95" s="49" t="s">
        <v>84</v>
      </c>
      <c r="I95" s="49" t="s">
        <v>83</v>
      </c>
      <c r="J95" s="49" t="s">
        <v>81</v>
      </c>
      <c r="K95" s="49">
        <v>5</v>
      </c>
      <c r="L95" s="49">
        <v>500</v>
      </c>
      <c r="M95" s="49">
        <v>0.03</v>
      </c>
      <c r="N95" s="49">
        <v>2500</v>
      </c>
      <c r="O95" s="49">
        <v>2425</v>
      </c>
      <c r="P95" s="49">
        <v>1802.35</v>
      </c>
      <c r="Q95" s="49">
        <v>622.65</v>
      </c>
      <c r="R95" s="49">
        <v>0.25679999999999997</v>
      </c>
      <c r="S95" s="49">
        <v>0.74319999999999997</v>
      </c>
      <c r="T95" s="49">
        <v>2595</v>
      </c>
      <c r="U95" s="49">
        <v>2.5259999999999998</v>
      </c>
      <c r="V95" s="49">
        <v>0</v>
      </c>
      <c r="W95" s="50">
        <v>0</v>
      </c>
      <c r="X95" s="43"/>
      <c r="Y95" s="43"/>
      <c r="Z95" s="43"/>
      <c r="AA95" s="43"/>
      <c r="AB95" s="43"/>
      <c r="AC95" s="43"/>
    </row>
    <row r="96" spans="1:29" x14ac:dyDescent="0.3">
      <c r="A96" s="43"/>
      <c r="B96" s="45" t="s">
        <v>237</v>
      </c>
      <c r="C96" s="48">
        <v>45637</v>
      </c>
      <c r="D96" s="49" t="s">
        <v>149</v>
      </c>
      <c r="E96" s="49" t="s">
        <v>70</v>
      </c>
      <c r="F96" s="49" t="s">
        <v>72</v>
      </c>
      <c r="G96" s="49" t="s">
        <v>153</v>
      </c>
      <c r="H96" s="49" t="s">
        <v>82</v>
      </c>
      <c r="I96" s="49" t="s">
        <v>83</v>
      </c>
      <c r="J96" s="49" t="s">
        <v>81</v>
      </c>
      <c r="K96" s="49">
        <v>4</v>
      </c>
      <c r="L96" s="49">
        <v>100</v>
      </c>
      <c r="M96" s="49">
        <v>0</v>
      </c>
      <c r="N96" s="49">
        <v>400</v>
      </c>
      <c r="O96" s="49">
        <v>400</v>
      </c>
      <c r="P96" s="49">
        <v>264.57</v>
      </c>
      <c r="Q96" s="49">
        <v>135.43</v>
      </c>
      <c r="R96" s="49">
        <v>0.33860000000000001</v>
      </c>
      <c r="S96" s="49">
        <v>0.66139999999999999</v>
      </c>
      <c r="T96" s="49">
        <v>266</v>
      </c>
      <c r="U96" s="49">
        <v>0.55559999999999998</v>
      </c>
      <c r="V96" s="49">
        <v>1</v>
      </c>
      <c r="W96" s="50">
        <v>0.25</v>
      </c>
      <c r="X96" s="43"/>
      <c r="Y96" s="43"/>
      <c r="Z96" s="43"/>
      <c r="AA96" s="43"/>
      <c r="AB96" s="43"/>
      <c r="AC96" s="43"/>
    </row>
    <row r="97" spans="1:29" x14ac:dyDescent="0.3">
      <c r="A97" s="43"/>
      <c r="B97" s="45" t="s">
        <v>238</v>
      </c>
      <c r="C97" s="48">
        <v>45951</v>
      </c>
      <c r="D97" s="49" t="s">
        <v>151</v>
      </c>
      <c r="E97" s="49" t="s">
        <v>70</v>
      </c>
      <c r="F97" s="49" t="s">
        <v>73</v>
      </c>
      <c r="G97" s="49" t="s">
        <v>144</v>
      </c>
      <c r="H97" s="49" t="s">
        <v>85</v>
      </c>
      <c r="I97" s="49" t="s">
        <v>83</v>
      </c>
      <c r="J97" s="49" t="s">
        <v>81</v>
      </c>
      <c r="K97" s="49">
        <v>2</v>
      </c>
      <c r="L97" s="49">
        <v>500</v>
      </c>
      <c r="M97" s="49">
        <v>0.05</v>
      </c>
      <c r="N97" s="49">
        <v>1000</v>
      </c>
      <c r="O97" s="49">
        <v>950</v>
      </c>
      <c r="P97" s="49">
        <v>765.22</v>
      </c>
      <c r="Q97" s="49">
        <v>184.78</v>
      </c>
      <c r="R97" s="49">
        <v>0.19450000000000001</v>
      </c>
      <c r="S97" s="49">
        <v>0.80549999999999999</v>
      </c>
      <c r="T97" s="49">
        <v>626</v>
      </c>
      <c r="U97" s="49">
        <v>0.98960000000000004</v>
      </c>
      <c r="V97" s="49">
        <v>0</v>
      </c>
      <c r="W97" s="50">
        <v>0</v>
      </c>
      <c r="X97" s="43"/>
      <c r="Y97" s="43"/>
      <c r="Z97" s="43"/>
      <c r="AA97" s="43"/>
      <c r="AB97" s="43"/>
      <c r="AC97" s="43"/>
    </row>
    <row r="98" spans="1:29" x14ac:dyDescent="0.3">
      <c r="A98" s="43"/>
      <c r="B98" s="45" t="s">
        <v>239</v>
      </c>
      <c r="C98" s="48">
        <v>45689</v>
      </c>
      <c r="D98" s="49" t="s">
        <v>149</v>
      </c>
      <c r="E98" s="49" t="s">
        <v>70</v>
      </c>
      <c r="F98" s="49" t="s">
        <v>75</v>
      </c>
      <c r="G98" s="49" t="s">
        <v>183</v>
      </c>
      <c r="H98" s="49" t="s">
        <v>79</v>
      </c>
      <c r="I98" s="49" t="s">
        <v>80</v>
      </c>
      <c r="J98" s="49" t="s">
        <v>81</v>
      </c>
      <c r="K98" s="49">
        <v>2</v>
      </c>
      <c r="L98" s="49">
        <v>80</v>
      </c>
      <c r="M98" s="49">
        <v>0</v>
      </c>
      <c r="N98" s="49">
        <v>160</v>
      </c>
      <c r="O98" s="49">
        <v>160</v>
      </c>
      <c r="P98" s="49">
        <v>79.44</v>
      </c>
      <c r="Q98" s="49">
        <v>80.56</v>
      </c>
      <c r="R98" s="49">
        <v>0.50349999999999995</v>
      </c>
      <c r="S98" s="49">
        <v>0.4965</v>
      </c>
      <c r="T98" s="49">
        <v>190</v>
      </c>
      <c r="U98" s="49">
        <v>0.2462</v>
      </c>
      <c r="V98" s="49">
        <v>0</v>
      </c>
      <c r="W98" s="50">
        <v>0</v>
      </c>
      <c r="X98" s="43"/>
      <c r="Y98" s="43"/>
      <c r="Z98" s="43"/>
      <c r="AA98" s="43"/>
      <c r="AB98" s="43"/>
      <c r="AC98" s="43"/>
    </row>
    <row r="99" spans="1:29" x14ac:dyDescent="0.3">
      <c r="A99" s="43"/>
      <c r="B99" s="45" t="s">
        <v>240</v>
      </c>
      <c r="C99" s="48">
        <v>45974</v>
      </c>
      <c r="D99" s="49" t="s">
        <v>137</v>
      </c>
      <c r="E99" s="49" t="s">
        <v>71</v>
      </c>
      <c r="F99" s="49" t="s">
        <v>72</v>
      </c>
      <c r="G99" s="49" t="s">
        <v>144</v>
      </c>
      <c r="H99" s="49" t="s">
        <v>84</v>
      </c>
      <c r="I99" s="49" t="s">
        <v>83</v>
      </c>
      <c r="J99" s="49" t="s">
        <v>86</v>
      </c>
      <c r="K99" s="49">
        <v>11</v>
      </c>
      <c r="L99" s="49">
        <v>80</v>
      </c>
      <c r="M99" s="49">
        <v>0.05</v>
      </c>
      <c r="N99" s="49">
        <v>880</v>
      </c>
      <c r="O99" s="49">
        <v>836</v>
      </c>
      <c r="P99" s="49">
        <v>596.29999999999995</v>
      </c>
      <c r="Q99" s="49">
        <v>239.7</v>
      </c>
      <c r="R99" s="49">
        <v>0.28670000000000001</v>
      </c>
      <c r="S99" s="49">
        <v>0.71330000000000005</v>
      </c>
      <c r="T99" s="49">
        <v>656</v>
      </c>
      <c r="U99" s="49">
        <v>1.1611</v>
      </c>
      <c r="V99" s="49">
        <v>0</v>
      </c>
      <c r="W99" s="50">
        <v>0</v>
      </c>
      <c r="X99" s="43"/>
      <c r="Y99" s="43"/>
      <c r="Z99" s="43"/>
      <c r="AA99" s="43"/>
      <c r="AB99" s="43"/>
      <c r="AC99" s="43"/>
    </row>
    <row r="100" spans="1:29" x14ac:dyDescent="0.3">
      <c r="A100" s="43"/>
      <c r="B100" s="45" t="s">
        <v>241</v>
      </c>
      <c r="C100" s="48">
        <v>45300</v>
      </c>
      <c r="D100" s="49" t="s">
        <v>149</v>
      </c>
      <c r="E100" s="49" t="s">
        <v>70</v>
      </c>
      <c r="F100" s="49" t="s">
        <v>73</v>
      </c>
      <c r="G100" s="49" t="s">
        <v>138</v>
      </c>
      <c r="H100" s="49" t="s">
        <v>84</v>
      </c>
      <c r="I100" s="49" t="s">
        <v>83</v>
      </c>
      <c r="J100" s="49" t="s">
        <v>81</v>
      </c>
      <c r="K100" s="49">
        <v>7</v>
      </c>
      <c r="L100" s="49">
        <v>200</v>
      </c>
      <c r="M100" s="49">
        <v>0</v>
      </c>
      <c r="N100" s="49">
        <v>1400</v>
      </c>
      <c r="O100" s="49">
        <v>1400</v>
      </c>
      <c r="P100" s="49">
        <v>1090.8</v>
      </c>
      <c r="Q100" s="49">
        <v>309.2</v>
      </c>
      <c r="R100" s="49">
        <v>0.22090000000000001</v>
      </c>
      <c r="S100" s="49">
        <v>0.77910000000000001</v>
      </c>
      <c r="T100" s="49">
        <v>1449</v>
      </c>
      <c r="U100" s="49">
        <v>1.75</v>
      </c>
      <c r="V100" s="49">
        <v>1</v>
      </c>
      <c r="W100" s="50">
        <v>0.1429</v>
      </c>
      <c r="X100" s="43"/>
      <c r="Y100" s="43"/>
      <c r="Z100" s="43"/>
      <c r="AA100" s="43"/>
      <c r="AB100" s="43"/>
      <c r="AC100" s="43"/>
    </row>
    <row r="101" spans="1:29" x14ac:dyDescent="0.3">
      <c r="A101" s="43"/>
      <c r="B101" s="45" t="s">
        <v>242</v>
      </c>
      <c r="C101" s="48">
        <v>45640</v>
      </c>
      <c r="D101" s="49" t="s">
        <v>143</v>
      </c>
      <c r="E101" s="49" t="s">
        <v>69</v>
      </c>
      <c r="F101" s="49" t="s">
        <v>76</v>
      </c>
      <c r="G101" s="49" t="s">
        <v>147</v>
      </c>
      <c r="H101" s="49" t="s">
        <v>79</v>
      </c>
      <c r="I101" s="49" t="s">
        <v>83</v>
      </c>
      <c r="J101" s="49" t="s">
        <v>81</v>
      </c>
      <c r="K101" s="49">
        <v>1</v>
      </c>
      <c r="L101" s="49">
        <v>60</v>
      </c>
      <c r="M101" s="49">
        <v>0.08</v>
      </c>
      <c r="N101" s="49">
        <v>60</v>
      </c>
      <c r="O101" s="49">
        <v>55.2</v>
      </c>
      <c r="P101" s="49">
        <v>37.25</v>
      </c>
      <c r="Q101" s="49">
        <v>17.95</v>
      </c>
      <c r="R101" s="49">
        <v>0.32519999999999999</v>
      </c>
      <c r="S101" s="49">
        <v>0.67479999999999996</v>
      </c>
      <c r="T101" s="49">
        <v>59</v>
      </c>
      <c r="U101" s="49">
        <v>5.11E-2</v>
      </c>
      <c r="V101" s="49">
        <v>0</v>
      </c>
      <c r="W101" s="50">
        <v>0</v>
      </c>
      <c r="X101" s="43"/>
      <c r="Y101" s="43"/>
      <c r="Z101" s="43"/>
      <c r="AA101" s="43"/>
      <c r="AB101" s="43"/>
      <c r="AC101" s="43"/>
    </row>
    <row r="102" spans="1:29" x14ac:dyDescent="0.3">
      <c r="A102" s="43"/>
      <c r="B102" s="45" t="s">
        <v>243</v>
      </c>
      <c r="C102" s="48">
        <v>45856</v>
      </c>
      <c r="D102" s="49" t="s">
        <v>140</v>
      </c>
      <c r="E102" s="49" t="s">
        <v>71</v>
      </c>
      <c r="F102" s="49" t="s">
        <v>76</v>
      </c>
      <c r="G102" s="49" t="s">
        <v>153</v>
      </c>
      <c r="H102" s="49" t="s">
        <v>85</v>
      </c>
      <c r="I102" s="49" t="s">
        <v>80</v>
      </c>
      <c r="J102" s="49" t="s">
        <v>86</v>
      </c>
      <c r="K102" s="49">
        <v>3</v>
      </c>
      <c r="L102" s="49">
        <v>750</v>
      </c>
      <c r="M102" s="49">
        <v>0</v>
      </c>
      <c r="N102" s="49">
        <v>2250</v>
      </c>
      <c r="O102" s="49">
        <v>2250</v>
      </c>
      <c r="P102" s="49">
        <v>1420.92</v>
      </c>
      <c r="Q102" s="49">
        <v>829.08</v>
      </c>
      <c r="R102" s="49">
        <v>0.36849999999999999</v>
      </c>
      <c r="S102" s="49">
        <v>0.63149999999999995</v>
      </c>
      <c r="T102" s="49">
        <v>1686</v>
      </c>
      <c r="U102" s="49">
        <v>2.2321</v>
      </c>
      <c r="V102" s="49">
        <v>0</v>
      </c>
      <c r="W102" s="50">
        <v>0</v>
      </c>
      <c r="X102" s="43"/>
      <c r="Y102" s="43"/>
      <c r="Z102" s="43"/>
      <c r="AA102" s="43"/>
      <c r="AB102" s="43"/>
      <c r="AC102" s="43"/>
    </row>
    <row r="103" spans="1:29" x14ac:dyDescent="0.3">
      <c r="A103" s="43"/>
      <c r="B103" s="45" t="s">
        <v>244</v>
      </c>
      <c r="C103" s="48">
        <v>45561</v>
      </c>
      <c r="D103" s="49" t="s">
        <v>140</v>
      </c>
      <c r="E103" s="49" t="s">
        <v>71</v>
      </c>
      <c r="F103" s="49" t="s">
        <v>75</v>
      </c>
      <c r="G103" s="49" t="s">
        <v>141</v>
      </c>
      <c r="H103" s="49" t="s">
        <v>84</v>
      </c>
      <c r="I103" s="49" t="s">
        <v>80</v>
      </c>
      <c r="J103" s="49" t="s">
        <v>81</v>
      </c>
      <c r="K103" s="49">
        <v>4</v>
      </c>
      <c r="L103" s="49">
        <v>300</v>
      </c>
      <c r="M103" s="49">
        <v>0</v>
      </c>
      <c r="N103" s="49">
        <v>1200</v>
      </c>
      <c r="O103" s="49">
        <v>1200</v>
      </c>
      <c r="P103" s="49">
        <v>656.6</v>
      </c>
      <c r="Q103" s="49">
        <v>543.4</v>
      </c>
      <c r="R103" s="49">
        <v>0.45279999999999998</v>
      </c>
      <c r="S103" s="49">
        <v>0.54720000000000002</v>
      </c>
      <c r="T103" s="49">
        <v>1284</v>
      </c>
      <c r="U103" s="49">
        <v>1.6484000000000001</v>
      </c>
      <c r="V103" s="49">
        <v>0</v>
      </c>
      <c r="W103" s="50">
        <v>0</v>
      </c>
      <c r="X103" s="43"/>
      <c r="Y103" s="43"/>
      <c r="Z103" s="43"/>
      <c r="AA103" s="43"/>
      <c r="AB103" s="43"/>
      <c r="AC103" s="43"/>
    </row>
    <row r="104" spans="1:29" x14ac:dyDescent="0.3">
      <c r="A104" s="43"/>
      <c r="B104" s="45" t="s">
        <v>245</v>
      </c>
      <c r="C104" s="48">
        <v>45501</v>
      </c>
      <c r="D104" s="49" t="s">
        <v>140</v>
      </c>
      <c r="E104" s="49" t="s">
        <v>71</v>
      </c>
      <c r="F104" s="49" t="s">
        <v>74</v>
      </c>
      <c r="G104" s="49" t="s">
        <v>144</v>
      </c>
      <c r="H104" s="49" t="s">
        <v>85</v>
      </c>
      <c r="I104" s="49" t="s">
        <v>83</v>
      </c>
      <c r="J104" s="49" t="s">
        <v>81</v>
      </c>
      <c r="K104" s="49">
        <v>6</v>
      </c>
      <c r="L104" s="49">
        <v>500</v>
      </c>
      <c r="M104" s="49">
        <v>0.1</v>
      </c>
      <c r="N104" s="49">
        <v>3000</v>
      </c>
      <c r="O104" s="49">
        <v>2700</v>
      </c>
      <c r="P104" s="49">
        <v>1562.72</v>
      </c>
      <c r="Q104" s="49">
        <v>1137.28</v>
      </c>
      <c r="R104" s="49">
        <v>0.42120000000000002</v>
      </c>
      <c r="S104" s="49">
        <v>0.57879999999999998</v>
      </c>
      <c r="T104" s="49">
        <v>1990</v>
      </c>
      <c r="U104" s="49">
        <v>3.2143000000000002</v>
      </c>
      <c r="V104" s="49">
        <v>0</v>
      </c>
      <c r="W104" s="50">
        <v>0</v>
      </c>
      <c r="X104" s="43"/>
      <c r="Y104" s="43"/>
      <c r="Z104" s="43"/>
      <c r="AA104" s="43"/>
      <c r="AB104" s="43"/>
      <c r="AC104" s="43"/>
    </row>
    <row r="105" spans="1:29" x14ac:dyDescent="0.3">
      <c r="A105" s="43"/>
      <c r="B105" s="45" t="s">
        <v>246</v>
      </c>
      <c r="C105" s="48">
        <v>45320</v>
      </c>
      <c r="D105" s="49" t="s">
        <v>151</v>
      </c>
      <c r="E105" s="49" t="s">
        <v>70</v>
      </c>
      <c r="F105" s="49" t="s">
        <v>75</v>
      </c>
      <c r="G105" s="49" t="s">
        <v>141</v>
      </c>
      <c r="H105" s="49" t="s">
        <v>84</v>
      </c>
      <c r="I105" s="49" t="s">
        <v>83</v>
      </c>
      <c r="J105" s="49" t="s">
        <v>81</v>
      </c>
      <c r="K105" s="49">
        <v>6</v>
      </c>
      <c r="L105" s="49">
        <v>25</v>
      </c>
      <c r="M105" s="49">
        <v>0.08</v>
      </c>
      <c r="N105" s="49">
        <v>150</v>
      </c>
      <c r="O105" s="49">
        <v>138</v>
      </c>
      <c r="P105" s="49">
        <v>66.489999999999995</v>
      </c>
      <c r="Q105" s="49">
        <v>71.510000000000005</v>
      </c>
      <c r="R105" s="49">
        <v>0.51819999999999999</v>
      </c>
      <c r="S105" s="49">
        <v>0.48180000000000001</v>
      </c>
      <c r="T105" s="49">
        <v>144</v>
      </c>
      <c r="U105" s="49">
        <v>0.21229999999999999</v>
      </c>
      <c r="V105" s="49">
        <v>0</v>
      </c>
      <c r="W105" s="50">
        <v>0</v>
      </c>
      <c r="X105" s="43"/>
      <c r="Y105" s="43"/>
      <c r="Z105" s="43"/>
      <c r="AA105" s="43"/>
      <c r="AB105" s="43"/>
      <c r="AC105" s="43"/>
    </row>
    <row r="106" spans="1:29" x14ac:dyDescent="0.3">
      <c r="A106" s="43"/>
      <c r="B106" s="45" t="s">
        <v>247</v>
      </c>
      <c r="C106" s="48">
        <v>45297</v>
      </c>
      <c r="D106" s="49" t="s">
        <v>140</v>
      </c>
      <c r="E106" s="49" t="s">
        <v>71</v>
      </c>
      <c r="F106" s="49" t="s">
        <v>75</v>
      </c>
      <c r="G106" s="49" t="s">
        <v>144</v>
      </c>
      <c r="H106" s="49" t="s">
        <v>79</v>
      </c>
      <c r="I106" s="49" t="s">
        <v>83</v>
      </c>
      <c r="J106" s="49" t="s">
        <v>81</v>
      </c>
      <c r="K106" s="49">
        <v>4</v>
      </c>
      <c r="L106" s="49">
        <v>25</v>
      </c>
      <c r="M106" s="49">
        <v>0.05</v>
      </c>
      <c r="N106" s="49">
        <v>100</v>
      </c>
      <c r="O106" s="49">
        <v>95</v>
      </c>
      <c r="P106" s="49">
        <v>64.19</v>
      </c>
      <c r="Q106" s="49">
        <v>30.81</v>
      </c>
      <c r="R106" s="49">
        <v>0.32429999999999998</v>
      </c>
      <c r="S106" s="49">
        <v>0.67569999999999997</v>
      </c>
      <c r="T106" s="49">
        <v>146</v>
      </c>
      <c r="U106" s="49">
        <v>0.1462</v>
      </c>
      <c r="V106" s="49">
        <v>0</v>
      </c>
      <c r="W106" s="50">
        <v>0</v>
      </c>
      <c r="X106" s="43"/>
      <c r="Y106" s="43"/>
      <c r="Z106" s="43"/>
      <c r="AA106" s="43"/>
      <c r="AB106" s="43"/>
      <c r="AC106" s="43"/>
    </row>
    <row r="107" spans="1:29" x14ac:dyDescent="0.3">
      <c r="A107" s="43"/>
      <c r="B107" s="45" t="s">
        <v>248</v>
      </c>
      <c r="C107" s="48">
        <v>45909</v>
      </c>
      <c r="D107" s="49" t="s">
        <v>149</v>
      </c>
      <c r="E107" s="49" t="s">
        <v>70</v>
      </c>
      <c r="F107" s="49" t="s">
        <v>72</v>
      </c>
      <c r="G107" s="49" t="s">
        <v>138</v>
      </c>
      <c r="H107" s="49" t="s">
        <v>85</v>
      </c>
      <c r="I107" s="49" t="s">
        <v>80</v>
      </c>
      <c r="J107" s="49" t="s">
        <v>81</v>
      </c>
      <c r="K107" s="49">
        <v>4</v>
      </c>
      <c r="L107" s="49">
        <v>60</v>
      </c>
      <c r="M107" s="49">
        <v>0.08</v>
      </c>
      <c r="N107" s="49">
        <v>240</v>
      </c>
      <c r="O107" s="49">
        <v>220.8</v>
      </c>
      <c r="P107" s="49">
        <v>117.95</v>
      </c>
      <c r="Q107" s="49">
        <v>102.85</v>
      </c>
      <c r="R107" s="49">
        <v>0.46579999999999999</v>
      </c>
      <c r="S107" s="49">
        <v>0.53420000000000001</v>
      </c>
      <c r="T107" s="49">
        <v>261</v>
      </c>
      <c r="U107" s="49">
        <v>0.3286</v>
      </c>
      <c r="V107" s="49">
        <v>1</v>
      </c>
      <c r="W107" s="50">
        <v>0.25</v>
      </c>
      <c r="X107" s="43"/>
      <c r="Y107" s="43"/>
      <c r="Z107" s="43"/>
      <c r="AA107" s="43"/>
      <c r="AB107" s="43"/>
      <c r="AC107" s="43"/>
    </row>
    <row r="108" spans="1:29" x14ac:dyDescent="0.3">
      <c r="A108" s="43"/>
      <c r="B108" s="45" t="s">
        <v>249</v>
      </c>
      <c r="C108" s="48">
        <v>45577</v>
      </c>
      <c r="D108" s="49" t="s">
        <v>140</v>
      </c>
      <c r="E108" s="49" t="s">
        <v>71</v>
      </c>
      <c r="F108" s="49" t="s">
        <v>72</v>
      </c>
      <c r="G108" s="49" t="s">
        <v>153</v>
      </c>
      <c r="H108" s="49" t="s">
        <v>84</v>
      </c>
      <c r="I108" s="49" t="s">
        <v>83</v>
      </c>
      <c r="J108" s="49" t="s">
        <v>81</v>
      </c>
      <c r="K108" s="49">
        <v>2</v>
      </c>
      <c r="L108" s="49">
        <v>300</v>
      </c>
      <c r="M108" s="49">
        <v>0.05</v>
      </c>
      <c r="N108" s="49">
        <v>600</v>
      </c>
      <c r="O108" s="49">
        <v>570</v>
      </c>
      <c r="P108" s="49">
        <v>321.72000000000003</v>
      </c>
      <c r="Q108" s="49">
        <v>248.28</v>
      </c>
      <c r="R108" s="49">
        <v>0.43559999999999999</v>
      </c>
      <c r="S108" s="49">
        <v>0.56440000000000001</v>
      </c>
      <c r="T108" s="49">
        <v>339</v>
      </c>
      <c r="U108" s="49">
        <v>0.79169999999999996</v>
      </c>
      <c r="V108" s="49">
        <v>0</v>
      </c>
      <c r="W108" s="50">
        <v>0</v>
      </c>
      <c r="X108" s="43"/>
      <c r="Y108" s="43"/>
      <c r="Z108" s="43"/>
      <c r="AA108" s="43"/>
      <c r="AB108" s="43"/>
      <c r="AC108" s="43"/>
    </row>
    <row r="109" spans="1:29" x14ac:dyDescent="0.3">
      <c r="A109" s="43"/>
      <c r="B109" s="45" t="s">
        <v>250</v>
      </c>
      <c r="C109" s="48">
        <v>46015</v>
      </c>
      <c r="D109" s="49" t="s">
        <v>143</v>
      </c>
      <c r="E109" s="49" t="s">
        <v>69</v>
      </c>
      <c r="F109" s="49" t="s">
        <v>72</v>
      </c>
      <c r="G109" s="49" t="s">
        <v>141</v>
      </c>
      <c r="H109" s="49" t="s">
        <v>85</v>
      </c>
      <c r="I109" s="49" t="s">
        <v>83</v>
      </c>
      <c r="J109" s="49" t="s">
        <v>81</v>
      </c>
      <c r="K109" s="49">
        <v>3</v>
      </c>
      <c r="L109" s="49">
        <v>200</v>
      </c>
      <c r="M109" s="49">
        <v>0.03</v>
      </c>
      <c r="N109" s="49">
        <v>600</v>
      </c>
      <c r="O109" s="49">
        <v>582</v>
      </c>
      <c r="P109" s="49">
        <v>407.56</v>
      </c>
      <c r="Q109" s="49">
        <v>174.44</v>
      </c>
      <c r="R109" s="49">
        <v>0.29970000000000002</v>
      </c>
      <c r="S109" s="49">
        <v>0.70030000000000003</v>
      </c>
      <c r="T109" s="49">
        <v>268</v>
      </c>
      <c r="U109" s="49">
        <v>0.80830000000000002</v>
      </c>
      <c r="V109" s="49">
        <v>0</v>
      </c>
      <c r="W109" s="50">
        <v>0</v>
      </c>
      <c r="X109" s="43"/>
      <c r="Y109" s="43"/>
      <c r="Z109" s="43"/>
      <c r="AA109" s="43"/>
      <c r="AB109" s="43"/>
      <c r="AC109" s="43"/>
    </row>
    <row r="110" spans="1:29" x14ac:dyDescent="0.3">
      <c r="A110" s="43"/>
      <c r="B110" s="45" t="s">
        <v>251</v>
      </c>
      <c r="C110" s="48">
        <v>45661</v>
      </c>
      <c r="D110" s="49" t="s">
        <v>161</v>
      </c>
      <c r="E110" s="49" t="s">
        <v>68</v>
      </c>
      <c r="F110" s="49" t="s">
        <v>75</v>
      </c>
      <c r="G110" s="49" t="s">
        <v>183</v>
      </c>
      <c r="H110" s="49" t="s">
        <v>82</v>
      </c>
      <c r="I110" s="49" t="s">
        <v>83</v>
      </c>
      <c r="J110" s="49" t="s">
        <v>86</v>
      </c>
      <c r="K110" s="49">
        <v>2</v>
      </c>
      <c r="L110" s="49">
        <v>150</v>
      </c>
      <c r="M110" s="49">
        <v>0.05</v>
      </c>
      <c r="N110" s="49">
        <v>300</v>
      </c>
      <c r="O110" s="49">
        <v>285</v>
      </c>
      <c r="P110" s="49">
        <v>148.71</v>
      </c>
      <c r="Q110" s="49">
        <v>136.29</v>
      </c>
      <c r="R110" s="49">
        <v>0.47820000000000001</v>
      </c>
      <c r="S110" s="49">
        <v>0.52180000000000004</v>
      </c>
      <c r="T110" s="49">
        <v>171</v>
      </c>
      <c r="U110" s="49">
        <v>0.4385</v>
      </c>
      <c r="V110" s="49">
        <v>0</v>
      </c>
      <c r="W110" s="50">
        <v>0</v>
      </c>
      <c r="X110" s="43"/>
      <c r="Y110" s="43"/>
      <c r="Z110" s="43"/>
      <c r="AA110" s="43"/>
      <c r="AB110" s="43"/>
      <c r="AC110" s="43"/>
    </row>
    <row r="111" spans="1:29" x14ac:dyDescent="0.3">
      <c r="A111" s="43"/>
      <c r="B111" s="45" t="s">
        <v>252</v>
      </c>
      <c r="C111" s="48">
        <v>45358</v>
      </c>
      <c r="D111" s="49" t="s">
        <v>151</v>
      </c>
      <c r="E111" s="49" t="s">
        <v>70</v>
      </c>
      <c r="F111" s="49" t="s">
        <v>75</v>
      </c>
      <c r="G111" s="49" t="s">
        <v>153</v>
      </c>
      <c r="H111" s="49" t="s">
        <v>79</v>
      </c>
      <c r="I111" s="49" t="s">
        <v>80</v>
      </c>
      <c r="J111" s="49" t="s">
        <v>86</v>
      </c>
      <c r="K111" s="49">
        <v>4</v>
      </c>
      <c r="L111" s="49">
        <v>200</v>
      </c>
      <c r="M111" s="49">
        <v>0.05</v>
      </c>
      <c r="N111" s="49">
        <v>800</v>
      </c>
      <c r="O111" s="49">
        <v>760</v>
      </c>
      <c r="P111" s="49">
        <v>438.11</v>
      </c>
      <c r="Q111" s="49">
        <v>321.89</v>
      </c>
      <c r="R111" s="49">
        <v>0.42349999999999999</v>
      </c>
      <c r="S111" s="49">
        <v>0.57650000000000001</v>
      </c>
      <c r="T111" s="49">
        <v>829</v>
      </c>
      <c r="U111" s="49">
        <v>1.1692</v>
      </c>
      <c r="V111" s="49">
        <v>1</v>
      </c>
      <c r="W111" s="50">
        <v>0.25</v>
      </c>
      <c r="X111" s="43"/>
      <c r="Y111" s="43"/>
      <c r="Z111" s="43"/>
      <c r="AA111" s="43"/>
      <c r="AB111" s="43"/>
      <c r="AC111" s="43"/>
    </row>
    <row r="112" spans="1:29" x14ac:dyDescent="0.3">
      <c r="A112" s="43"/>
      <c r="B112" s="45" t="s">
        <v>253</v>
      </c>
      <c r="C112" s="48">
        <v>45743</v>
      </c>
      <c r="D112" s="49" t="s">
        <v>143</v>
      </c>
      <c r="E112" s="49" t="s">
        <v>69</v>
      </c>
      <c r="F112" s="49" t="s">
        <v>72</v>
      </c>
      <c r="G112" s="49" t="s">
        <v>144</v>
      </c>
      <c r="H112" s="49" t="s">
        <v>84</v>
      </c>
      <c r="I112" s="49" t="s">
        <v>83</v>
      </c>
      <c r="J112" s="49" t="s">
        <v>81</v>
      </c>
      <c r="K112" s="49">
        <v>1</v>
      </c>
      <c r="L112" s="49">
        <v>150</v>
      </c>
      <c r="M112" s="49">
        <v>0.05</v>
      </c>
      <c r="N112" s="49">
        <v>150</v>
      </c>
      <c r="O112" s="49">
        <v>142.5</v>
      </c>
      <c r="P112" s="49">
        <v>110.11</v>
      </c>
      <c r="Q112" s="49">
        <v>32.39</v>
      </c>
      <c r="R112" s="49">
        <v>0.2273</v>
      </c>
      <c r="S112" s="49">
        <v>0.77270000000000005</v>
      </c>
      <c r="T112" s="49">
        <v>113</v>
      </c>
      <c r="U112" s="49">
        <v>0.23749999999999999</v>
      </c>
      <c r="V112" s="49">
        <v>0</v>
      </c>
      <c r="W112" s="50">
        <v>0</v>
      </c>
      <c r="X112" s="43"/>
      <c r="Y112" s="43"/>
      <c r="Z112" s="43"/>
      <c r="AA112" s="43"/>
      <c r="AB112" s="43"/>
      <c r="AC112" s="43"/>
    </row>
    <row r="113" spans="1:29" x14ac:dyDescent="0.3">
      <c r="A113" s="43"/>
      <c r="B113" s="45" t="s">
        <v>254</v>
      </c>
      <c r="C113" s="48">
        <v>45733</v>
      </c>
      <c r="D113" s="49" t="s">
        <v>161</v>
      </c>
      <c r="E113" s="49" t="s">
        <v>68</v>
      </c>
      <c r="F113" s="49" t="s">
        <v>75</v>
      </c>
      <c r="G113" s="49" t="s">
        <v>183</v>
      </c>
      <c r="H113" s="49" t="s">
        <v>79</v>
      </c>
      <c r="I113" s="49" t="s">
        <v>83</v>
      </c>
      <c r="J113" s="49" t="s">
        <v>81</v>
      </c>
      <c r="K113" s="49">
        <v>4</v>
      </c>
      <c r="L113" s="49">
        <v>60</v>
      </c>
      <c r="M113" s="49">
        <v>0.1</v>
      </c>
      <c r="N113" s="49">
        <v>240</v>
      </c>
      <c r="O113" s="49">
        <v>216</v>
      </c>
      <c r="P113" s="49">
        <v>108.91</v>
      </c>
      <c r="Q113" s="49">
        <v>107.09</v>
      </c>
      <c r="R113" s="49">
        <v>0.49580000000000002</v>
      </c>
      <c r="S113" s="49">
        <v>0.50419999999999998</v>
      </c>
      <c r="T113" s="49">
        <v>252</v>
      </c>
      <c r="U113" s="49">
        <v>0.33229999999999998</v>
      </c>
      <c r="V113" s="49">
        <v>0</v>
      </c>
      <c r="W113" s="50">
        <v>0</v>
      </c>
      <c r="X113" s="43"/>
      <c r="Y113" s="43"/>
      <c r="Z113" s="43"/>
      <c r="AA113" s="43"/>
      <c r="AB113" s="43"/>
      <c r="AC113" s="43"/>
    </row>
    <row r="114" spans="1:29" x14ac:dyDescent="0.3">
      <c r="A114" s="43"/>
      <c r="B114" s="45" t="s">
        <v>255</v>
      </c>
      <c r="C114" s="48">
        <v>45533</v>
      </c>
      <c r="D114" s="49" t="s">
        <v>143</v>
      </c>
      <c r="E114" s="49" t="s">
        <v>69</v>
      </c>
      <c r="F114" s="49" t="s">
        <v>76</v>
      </c>
      <c r="G114" s="49" t="s">
        <v>183</v>
      </c>
      <c r="H114" s="49" t="s">
        <v>84</v>
      </c>
      <c r="I114" s="49" t="s">
        <v>83</v>
      </c>
      <c r="J114" s="49" t="s">
        <v>81</v>
      </c>
      <c r="K114" s="49">
        <v>3</v>
      </c>
      <c r="L114" s="49">
        <v>100</v>
      </c>
      <c r="M114" s="49">
        <v>0.03</v>
      </c>
      <c r="N114" s="49">
        <v>300</v>
      </c>
      <c r="O114" s="49">
        <v>291</v>
      </c>
      <c r="P114" s="49">
        <v>149.38</v>
      </c>
      <c r="Q114" s="49">
        <v>141.62</v>
      </c>
      <c r="R114" s="49">
        <v>0.48670000000000002</v>
      </c>
      <c r="S114" s="49">
        <v>0.51329999999999998</v>
      </c>
      <c r="T114" s="49">
        <v>348</v>
      </c>
      <c r="U114" s="49">
        <v>0.28870000000000001</v>
      </c>
      <c r="V114" s="49">
        <v>0</v>
      </c>
      <c r="W114" s="50">
        <v>0</v>
      </c>
      <c r="X114" s="43"/>
      <c r="Y114" s="43"/>
      <c r="Z114" s="43"/>
      <c r="AA114" s="43"/>
      <c r="AB114" s="43"/>
      <c r="AC114" s="43"/>
    </row>
    <row r="115" spans="1:29" x14ac:dyDescent="0.3">
      <c r="A115" s="43"/>
      <c r="B115" s="45" t="s">
        <v>256</v>
      </c>
      <c r="C115" s="48">
        <v>45905</v>
      </c>
      <c r="D115" s="49" t="s">
        <v>161</v>
      </c>
      <c r="E115" s="49" t="s">
        <v>68</v>
      </c>
      <c r="F115" s="49" t="s">
        <v>76</v>
      </c>
      <c r="G115" s="49" t="s">
        <v>183</v>
      </c>
      <c r="H115" s="49" t="s">
        <v>82</v>
      </c>
      <c r="I115" s="49" t="s">
        <v>83</v>
      </c>
      <c r="J115" s="49" t="s">
        <v>81</v>
      </c>
      <c r="K115" s="49">
        <v>4</v>
      </c>
      <c r="L115" s="49">
        <v>500</v>
      </c>
      <c r="M115" s="49">
        <v>0</v>
      </c>
      <c r="N115" s="49">
        <v>2000</v>
      </c>
      <c r="O115" s="49">
        <v>2000</v>
      </c>
      <c r="P115" s="49">
        <v>1110.8499999999999</v>
      </c>
      <c r="Q115" s="49">
        <v>889.15</v>
      </c>
      <c r="R115" s="49">
        <v>0.4446</v>
      </c>
      <c r="S115" s="49">
        <v>0.5554</v>
      </c>
      <c r="T115" s="49">
        <v>1553</v>
      </c>
      <c r="U115" s="49">
        <v>1.9841</v>
      </c>
      <c r="V115" s="49">
        <v>0</v>
      </c>
      <c r="W115" s="50">
        <v>0</v>
      </c>
      <c r="X115" s="43"/>
      <c r="Y115" s="43"/>
      <c r="Z115" s="43"/>
      <c r="AA115" s="43"/>
      <c r="AB115" s="43"/>
      <c r="AC115" s="43"/>
    </row>
    <row r="116" spans="1:29" x14ac:dyDescent="0.3">
      <c r="A116" s="43"/>
      <c r="B116" s="45" t="s">
        <v>257</v>
      </c>
      <c r="C116" s="48">
        <v>45413</v>
      </c>
      <c r="D116" s="49" t="s">
        <v>161</v>
      </c>
      <c r="E116" s="49" t="s">
        <v>68</v>
      </c>
      <c r="F116" s="49" t="s">
        <v>74</v>
      </c>
      <c r="G116" s="49" t="s">
        <v>183</v>
      </c>
      <c r="H116" s="49" t="s">
        <v>84</v>
      </c>
      <c r="I116" s="49" t="s">
        <v>80</v>
      </c>
      <c r="J116" s="49" t="s">
        <v>81</v>
      </c>
      <c r="K116" s="49">
        <v>1</v>
      </c>
      <c r="L116" s="49">
        <v>100</v>
      </c>
      <c r="M116" s="49">
        <v>0</v>
      </c>
      <c r="N116" s="49">
        <v>100</v>
      </c>
      <c r="O116" s="49">
        <v>100</v>
      </c>
      <c r="P116" s="49">
        <v>71.67</v>
      </c>
      <c r="Q116" s="49">
        <v>28.33</v>
      </c>
      <c r="R116" s="49">
        <v>0.2833</v>
      </c>
      <c r="S116" s="49">
        <v>0.7167</v>
      </c>
      <c r="T116" s="49">
        <v>76</v>
      </c>
      <c r="U116" s="49">
        <v>0.12690000000000001</v>
      </c>
      <c r="V116" s="49">
        <v>0</v>
      </c>
      <c r="W116" s="50">
        <v>0</v>
      </c>
      <c r="X116" s="43"/>
      <c r="Y116" s="43"/>
      <c r="Z116" s="43"/>
      <c r="AA116" s="43"/>
      <c r="AB116" s="43"/>
      <c r="AC116" s="43"/>
    </row>
    <row r="117" spans="1:29" x14ac:dyDescent="0.3">
      <c r="A117" s="43"/>
      <c r="B117" s="45" t="s">
        <v>258</v>
      </c>
      <c r="C117" s="48">
        <v>45294</v>
      </c>
      <c r="D117" s="49" t="s">
        <v>137</v>
      </c>
      <c r="E117" s="49" t="s">
        <v>71</v>
      </c>
      <c r="F117" s="49" t="s">
        <v>75</v>
      </c>
      <c r="G117" s="49" t="s">
        <v>183</v>
      </c>
      <c r="H117" s="49" t="s">
        <v>84</v>
      </c>
      <c r="I117" s="49" t="s">
        <v>80</v>
      </c>
      <c r="J117" s="49" t="s">
        <v>81</v>
      </c>
      <c r="K117" s="49">
        <v>4</v>
      </c>
      <c r="L117" s="49">
        <v>200</v>
      </c>
      <c r="M117" s="49">
        <v>0.08</v>
      </c>
      <c r="N117" s="49">
        <v>800</v>
      </c>
      <c r="O117" s="49">
        <v>736</v>
      </c>
      <c r="P117" s="49">
        <v>511.58</v>
      </c>
      <c r="Q117" s="49">
        <v>224.42</v>
      </c>
      <c r="R117" s="49">
        <v>0.3049</v>
      </c>
      <c r="S117" s="49">
        <v>0.69510000000000005</v>
      </c>
      <c r="T117" s="49">
        <v>901</v>
      </c>
      <c r="U117" s="49">
        <v>1.1323000000000001</v>
      </c>
      <c r="V117" s="49">
        <v>0</v>
      </c>
      <c r="W117" s="50">
        <v>0</v>
      </c>
      <c r="X117" s="43"/>
      <c r="Y117" s="43"/>
      <c r="Z117" s="43"/>
      <c r="AA117" s="43"/>
      <c r="AB117" s="43"/>
      <c r="AC117" s="43"/>
    </row>
    <row r="118" spans="1:29" x14ac:dyDescent="0.3">
      <c r="A118" s="43"/>
      <c r="B118" s="45" t="s">
        <v>259</v>
      </c>
      <c r="C118" s="48">
        <v>45581</v>
      </c>
      <c r="D118" s="49" t="s">
        <v>140</v>
      </c>
      <c r="E118" s="49" t="s">
        <v>71</v>
      </c>
      <c r="F118" s="49" t="s">
        <v>73</v>
      </c>
      <c r="G118" s="49" t="s">
        <v>147</v>
      </c>
      <c r="H118" s="49" t="s">
        <v>84</v>
      </c>
      <c r="I118" s="49" t="s">
        <v>80</v>
      </c>
      <c r="J118" s="49" t="s">
        <v>81</v>
      </c>
      <c r="K118" s="49">
        <v>3</v>
      </c>
      <c r="L118" s="49">
        <v>200</v>
      </c>
      <c r="M118" s="49">
        <v>0.05</v>
      </c>
      <c r="N118" s="49">
        <v>600</v>
      </c>
      <c r="O118" s="49">
        <v>570</v>
      </c>
      <c r="P118" s="49">
        <v>458.19</v>
      </c>
      <c r="Q118" s="49">
        <v>111.81</v>
      </c>
      <c r="R118" s="49">
        <v>0.19620000000000001</v>
      </c>
      <c r="S118" s="49">
        <v>0.80379999999999996</v>
      </c>
      <c r="T118" s="49">
        <v>597</v>
      </c>
      <c r="U118" s="49">
        <v>0.59379999999999999</v>
      </c>
      <c r="V118" s="49">
        <v>0</v>
      </c>
      <c r="W118" s="50">
        <v>0</v>
      </c>
      <c r="X118" s="43"/>
      <c r="Y118" s="43"/>
      <c r="Z118" s="43"/>
      <c r="AA118" s="43"/>
      <c r="AB118" s="43"/>
      <c r="AC118" s="43"/>
    </row>
    <row r="119" spans="1:29" x14ac:dyDescent="0.3">
      <c r="A119" s="43"/>
      <c r="B119" s="45" t="s">
        <v>260</v>
      </c>
      <c r="C119" s="48">
        <v>45375</v>
      </c>
      <c r="D119" s="49" t="s">
        <v>143</v>
      </c>
      <c r="E119" s="49" t="s">
        <v>69</v>
      </c>
      <c r="F119" s="49" t="s">
        <v>76</v>
      </c>
      <c r="G119" s="49" t="s">
        <v>138</v>
      </c>
      <c r="H119" s="49" t="s">
        <v>85</v>
      </c>
      <c r="I119" s="49" t="s">
        <v>80</v>
      </c>
      <c r="J119" s="49" t="s">
        <v>81</v>
      </c>
      <c r="K119" s="49">
        <v>3</v>
      </c>
      <c r="L119" s="49">
        <v>80</v>
      </c>
      <c r="M119" s="49">
        <v>0.03</v>
      </c>
      <c r="N119" s="49">
        <v>240</v>
      </c>
      <c r="O119" s="49">
        <v>232.8</v>
      </c>
      <c r="P119" s="49">
        <v>157.62</v>
      </c>
      <c r="Q119" s="49">
        <v>75.180000000000007</v>
      </c>
      <c r="R119" s="49">
        <v>0.32290000000000002</v>
      </c>
      <c r="S119" s="49">
        <v>0.67710000000000004</v>
      </c>
      <c r="T119" s="49">
        <v>250</v>
      </c>
      <c r="U119" s="49">
        <v>0.25869999999999999</v>
      </c>
      <c r="V119" s="49">
        <v>0</v>
      </c>
      <c r="W119" s="50">
        <v>0</v>
      </c>
      <c r="X119" s="43"/>
      <c r="Y119" s="43"/>
      <c r="Z119" s="43"/>
      <c r="AA119" s="43"/>
      <c r="AB119" s="43"/>
      <c r="AC119" s="43"/>
    </row>
    <row r="120" spans="1:29" x14ac:dyDescent="0.3">
      <c r="A120" s="43"/>
      <c r="B120" s="45" t="s">
        <v>261</v>
      </c>
      <c r="C120" s="48">
        <v>45522</v>
      </c>
      <c r="D120" s="49" t="s">
        <v>140</v>
      </c>
      <c r="E120" s="49" t="s">
        <v>71</v>
      </c>
      <c r="F120" s="49" t="s">
        <v>75</v>
      </c>
      <c r="G120" s="49" t="s">
        <v>183</v>
      </c>
      <c r="H120" s="49" t="s">
        <v>84</v>
      </c>
      <c r="I120" s="49" t="s">
        <v>80</v>
      </c>
      <c r="J120" s="49" t="s">
        <v>81</v>
      </c>
      <c r="K120" s="49">
        <v>6</v>
      </c>
      <c r="L120" s="49">
        <v>300</v>
      </c>
      <c r="M120" s="49">
        <v>0</v>
      </c>
      <c r="N120" s="49">
        <v>1800</v>
      </c>
      <c r="O120" s="49">
        <v>1800</v>
      </c>
      <c r="P120" s="49">
        <v>1132.96</v>
      </c>
      <c r="Q120" s="49">
        <v>667.04</v>
      </c>
      <c r="R120" s="49">
        <v>0.37059999999999998</v>
      </c>
      <c r="S120" s="49">
        <v>0.62939999999999996</v>
      </c>
      <c r="T120" s="49">
        <v>1347</v>
      </c>
      <c r="U120" s="49">
        <v>2.4725000000000001</v>
      </c>
      <c r="V120" s="49">
        <v>0</v>
      </c>
      <c r="W120" s="50">
        <v>0</v>
      </c>
      <c r="X120" s="43"/>
      <c r="Y120" s="43"/>
      <c r="Z120" s="43"/>
      <c r="AA120" s="43"/>
      <c r="AB120" s="43"/>
      <c r="AC120" s="43"/>
    </row>
    <row r="121" spans="1:29" x14ac:dyDescent="0.3">
      <c r="A121" s="43"/>
      <c r="B121" s="45" t="s">
        <v>262</v>
      </c>
      <c r="C121" s="48">
        <v>46001</v>
      </c>
      <c r="D121" s="49" t="s">
        <v>143</v>
      </c>
      <c r="E121" s="49" t="s">
        <v>69</v>
      </c>
      <c r="F121" s="49" t="s">
        <v>76</v>
      </c>
      <c r="G121" s="49" t="s">
        <v>144</v>
      </c>
      <c r="H121" s="49" t="s">
        <v>79</v>
      </c>
      <c r="I121" s="49" t="s">
        <v>80</v>
      </c>
      <c r="J121" s="49" t="s">
        <v>81</v>
      </c>
      <c r="K121" s="49">
        <v>6</v>
      </c>
      <c r="L121" s="49">
        <v>40</v>
      </c>
      <c r="M121" s="49">
        <v>0.05</v>
      </c>
      <c r="N121" s="49">
        <v>240</v>
      </c>
      <c r="O121" s="49">
        <v>228</v>
      </c>
      <c r="P121" s="49">
        <v>179.45</v>
      </c>
      <c r="Q121" s="49">
        <v>48.55</v>
      </c>
      <c r="R121" s="49">
        <v>0.21290000000000001</v>
      </c>
      <c r="S121" s="49">
        <v>0.78710000000000002</v>
      </c>
      <c r="T121" s="49">
        <v>524</v>
      </c>
      <c r="U121" s="49">
        <v>0.21110000000000001</v>
      </c>
      <c r="V121" s="49">
        <v>0</v>
      </c>
      <c r="W121" s="50">
        <v>0</v>
      </c>
      <c r="X121" s="43"/>
      <c r="Y121" s="43"/>
      <c r="Z121" s="43"/>
      <c r="AA121" s="43"/>
      <c r="AB121" s="43"/>
      <c r="AC121" s="43"/>
    </row>
    <row r="122" spans="1:29" x14ac:dyDescent="0.3">
      <c r="A122" s="43"/>
      <c r="B122" s="45" t="s">
        <v>263</v>
      </c>
      <c r="C122" s="48">
        <v>45371</v>
      </c>
      <c r="D122" s="49" t="s">
        <v>140</v>
      </c>
      <c r="E122" s="49" t="s">
        <v>71</v>
      </c>
      <c r="F122" s="49" t="s">
        <v>74</v>
      </c>
      <c r="G122" s="49" t="s">
        <v>147</v>
      </c>
      <c r="H122" s="49" t="s">
        <v>84</v>
      </c>
      <c r="I122" s="49" t="s">
        <v>83</v>
      </c>
      <c r="J122" s="49" t="s">
        <v>81</v>
      </c>
      <c r="K122" s="49">
        <v>7</v>
      </c>
      <c r="L122" s="49">
        <v>60</v>
      </c>
      <c r="M122" s="49">
        <v>0.03</v>
      </c>
      <c r="N122" s="49">
        <v>420</v>
      </c>
      <c r="O122" s="49">
        <v>407.4</v>
      </c>
      <c r="P122" s="49">
        <v>305.48</v>
      </c>
      <c r="Q122" s="49">
        <v>101.92</v>
      </c>
      <c r="R122" s="49">
        <v>0.25019999999999998</v>
      </c>
      <c r="S122" s="49">
        <v>0.74980000000000002</v>
      </c>
      <c r="T122" s="49">
        <v>444</v>
      </c>
      <c r="U122" s="49">
        <v>0.54320000000000002</v>
      </c>
      <c r="V122" s="49">
        <v>0</v>
      </c>
      <c r="W122" s="50">
        <v>0</v>
      </c>
      <c r="X122" s="43"/>
      <c r="Y122" s="43"/>
      <c r="Z122" s="43"/>
      <c r="AA122" s="43"/>
      <c r="AB122" s="43"/>
      <c r="AC122" s="43"/>
    </row>
    <row r="123" spans="1:29" x14ac:dyDescent="0.3">
      <c r="A123" s="43"/>
      <c r="B123" s="45" t="s">
        <v>264</v>
      </c>
      <c r="C123" s="48">
        <v>45380</v>
      </c>
      <c r="D123" s="49" t="s">
        <v>137</v>
      </c>
      <c r="E123" s="49" t="s">
        <v>71</v>
      </c>
      <c r="F123" s="49" t="s">
        <v>75</v>
      </c>
      <c r="G123" s="49" t="s">
        <v>153</v>
      </c>
      <c r="H123" s="49" t="s">
        <v>79</v>
      </c>
      <c r="I123" s="49" t="s">
        <v>83</v>
      </c>
      <c r="J123" s="49" t="s">
        <v>86</v>
      </c>
      <c r="K123" s="49">
        <v>3</v>
      </c>
      <c r="L123" s="49">
        <v>200</v>
      </c>
      <c r="M123" s="49">
        <v>0.05</v>
      </c>
      <c r="N123" s="49">
        <v>600</v>
      </c>
      <c r="O123" s="49">
        <v>570</v>
      </c>
      <c r="P123" s="49">
        <v>318.27999999999997</v>
      </c>
      <c r="Q123" s="49">
        <v>251.72</v>
      </c>
      <c r="R123" s="49">
        <v>0.44159999999999999</v>
      </c>
      <c r="S123" s="49">
        <v>0.55840000000000001</v>
      </c>
      <c r="T123" s="49">
        <v>671</v>
      </c>
      <c r="U123" s="49">
        <v>0.87690000000000001</v>
      </c>
      <c r="V123" s="49">
        <v>0</v>
      </c>
      <c r="W123" s="50">
        <v>0</v>
      </c>
      <c r="X123" s="43"/>
      <c r="Y123" s="43"/>
      <c r="Z123" s="43"/>
      <c r="AA123" s="43"/>
      <c r="AB123" s="43"/>
      <c r="AC123" s="43"/>
    </row>
    <row r="124" spans="1:29" x14ac:dyDescent="0.3">
      <c r="A124" s="43"/>
      <c r="B124" s="45" t="s">
        <v>265</v>
      </c>
      <c r="C124" s="48">
        <v>45462</v>
      </c>
      <c r="D124" s="49" t="s">
        <v>140</v>
      </c>
      <c r="E124" s="49" t="s">
        <v>71</v>
      </c>
      <c r="F124" s="49" t="s">
        <v>76</v>
      </c>
      <c r="G124" s="49" t="s">
        <v>147</v>
      </c>
      <c r="H124" s="49" t="s">
        <v>85</v>
      </c>
      <c r="I124" s="49" t="s">
        <v>83</v>
      </c>
      <c r="J124" s="49" t="s">
        <v>81</v>
      </c>
      <c r="K124" s="49">
        <v>4</v>
      </c>
      <c r="L124" s="49">
        <v>60</v>
      </c>
      <c r="M124" s="49">
        <v>0.1</v>
      </c>
      <c r="N124" s="49">
        <v>240</v>
      </c>
      <c r="O124" s="49">
        <v>216</v>
      </c>
      <c r="P124" s="49">
        <v>135.31</v>
      </c>
      <c r="Q124" s="49">
        <v>80.69</v>
      </c>
      <c r="R124" s="49">
        <v>0.37359999999999999</v>
      </c>
      <c r="S124" s="49">
        <v>0.62639999999999996</v>
      </c>
      <c r="T124" s="49">
        <v>162</v>
      </c>
      <c r="U124" s="49">
        <v>0.2286</v>
      </c>
      <c r="V124" s="49">
        <v>0</v>
      </c>
      <c r="W124" s="50">
        <v>0</v>
      </c>
      <c r="X124" s="43"/>
      <c r="Y124" s="43"/>
      <c r="Z124" s="43"/>
      <c r="AA124" s="43"/>
      <c r="AB124" s="43"/>
      <c r="AC124" s="43"/>
    </row>
    <row r="125" spans="1:29" x14ac:dyDescent="0.3">
      <c r="A125" s="43"/>
      <c r="B125" s="45" t="s">
        <v>266</v>
      </c>
      <c r="C125" s="48">
        <v>45370</v>
      </c>
      <c r="D125" s="49" t="s">
        <v>137</v>
      </c>
      <c r="E125" s="49" t="s">
        <v>71</v>
      </c>
      <c r="F125" s="49" t="s">
        <v>74</v>
      </c>
      <c r="G125" s="49" t="s">
        <v>138</v>
      </c>
      <c r="H125" s="49" t="s">
        <v>84</v>
      </c>
      <c r="I125" s="49" t="s">
        <v>83</v>
      </c>
      <c r="J125" s="49" t="s">
        <v>81</v>
      </c>
      <c r="K125" s="49">
        <v>6</v>
      </c>
      <c r="L125" s="49">
        <v>100</v>
      </c>
      <c r="M125" s="49">
        <v>0.05</v>
      </c>
      <c r="N125" s="49">
        <v>600</v>
      </c>
      <c r="O125" s="49">
        <v>570</v>
      </c>
      <c r="P125" s="49">
        <v>377.26</v>
      </c>
      <c r="Q125" s="49">
        <v>192.74</v>
      </c>
      <c r="R125" s="49">
        <v>0.33810000000000001</v>
      </c>
      <c r="S125" s="49">
        <v>0.66190000000000004</v>
      </c>
      <c r="T125" s="49">
        <v>611</v>
      </c>
      <c r="U125" s="49">
        <v>0.76</v>
      </c>
      <c r="V125" s="49">
        <v>0</v>
      </c>
      <c r="W125" s="50">
        <v>0</v>
      </c>
      <c r="X125" s="43"/>
      <c r="Y125" s="43"/>
      <c r="Z125" s="43"/>
      <c r="AA125" s="43"/>
      <c r="AB125" s="43"/>
      <c r="AC125" s="43"/>
    </row>
    <row r="126" spans="1:29" x14ac:dyDescent="0.3">
      <c r="A126" s="43"/>
      <c r="B126" s="45" t="s">
        <v>267</v>
      </c>
      <c r="C126" s="48">
        <v>45403</v>
      </c>
      <c r="D126" s="49" t="s">
        <v>161</v>
      </c>
      <c r="E126" s="49" t="s">
        <v>68</v>
      </c>
      <c r="F126" s="49" t="s">
        <v>75</v>
      </c>
      <c r="G126" s="49" t="s">
        <v>153</v>
      </c>
      <c r="H126" s="49" t="s">
        <v>82</v>
      </c>
      <c r="I126" s="49" t="s">
        <v>83</v>
      </c>
      <c r="J126" s="49" t="s">
        <v>81</v>
      </c>
      <c r="K126" s="49">
        <v>7</v>
      </c>
      <c r="L126" s="49">
        <v>500</v>
      </c>
      <c r="M126" s="49">
        <v>0.05</v>
      </c>
      <c r="N126" s="49">
        <v>3500</v>
      </c>
      <c r="O126" s="49">
        <v>3325</v>
      </c>
      <c r="P126" s="49">
        <v>1790.45</v>
      </c>
      <c r="Q126" s="49">
        <v>1534.55</v>
      </c>
      <c r="R126" s="49">
        <v>0.46150000000000002</v>
      </c>
      <c r="S126" s="49">
        <v>0.53849999999999998</v>
      </c>
      <c r="T126" s="49">
        <v>3467</v>
      </c>
      <c r="U126" s="49">
        <v>4.8754</v>
      </c>
      <c r="V126" s="49">
        <v>0</v>
      </c>
      <c r="W126" s="50">
        <v>0</v>
      </c>
      <c r="X126" s="43"/>
      <c r="Y126" s="43"/>
      <c r="Z126" s="43"/>
      <c r="AA126" s="43"/>
      <c r="AB126" s="43"/>
      <c r="AC126" s="43"/>
    </row>
    <row r="127" spans="1:29" x14ac:dyDescent="0.3">
      <c r="A127" s="43"/>
      <c r="B127" s="45" t="s">
        <v>268</v>
      </c>
      <c r="C127" s="48">
        <v>45574</v>
      </c>
      <c r="D127" s="49" t="s">
        <v>140</v>
      </c>
      <c r="E127" s="49" t="s">
        <v>71</v>
      </c>
      <c r="F127" s="49" t="s">
        <v>72</v>
      </c>
      <c r="G127" s="49" t="s">
        <v>153</v>
      </c>
      <c r="H127" s="49" t="s">
        <v>84</v>
      </c>
      <c r="I127" s="49" t="s">
        <v>80</v>
      </c>
      <c r="J127" s="49" t="s">
        <v>81</v>
      </c>
      <c r="K127" s="49">
        <v>5</v>
      </c>
      <c r="L127" s="49">
        <v>80</v>
      </c>
      <c r="M127" s="49">
        <v>0.15</v>
      </c>
      <c r="N127" s="49">
        <v>400</v>
      </c>
      <c r="O127" s="49">
        <v>340</v>
      </c>
      <c r="P127" s="49">
        <v>226.32</v>
      </c>
      <c r="Q127" s="49">
        <v>113.68</v>
      </c>
      <c r="R127" s="49">
        <v>0.33439999999999998</v>
      </c>
      <c r="S127" s="49">
        <v>0.66559999999999997</v>
      </c>
      <c r="T127" s="49">
        <v>254</v>
      </c>
      <c r="U127" s="49">
        <v>0.47220000000000001</v>
      </c>
      <c r="V127" s="49">
        <v>1</v>
      </c>
      <c r="W127" s="50">
        <v>0.2</v>
      </c>
      <c r="X127" s="43"/>
      <c r="Y127" s="43"/>
      <c r="Z127" s="43"/>
      <c r="AA127" s="43"/>
      <c r="AB127" s="43"/>
      <c r="AC127" s="43"/>
    </row>
    <row r="128" spans="1:29" x14ac:dyDescent="0.3">
      <c r="A128" s="43"/>
      <c r="B128" s="45" t="s">
        <v>269</v>
      </c>
      <c r="C128" s="48">
        <v>45310</v>
      </c>
      <c r="D128" s="49" t="s">
        <v>143</v>
      </c>
      <c r="E128" s="49" t="s">
        <v>69</v>
      </c>
      <c r="F128" s="49" t="s">
        <v>74</v>
      </c>
      <c r="G128" s="49" t="s">
        <v>147</v>
      </c>
      <c r="H128" s="49" t="s">
        <v>79</v>
      </c>
      <c r="I128" s="49" t="s">
        <v>83</v>
      </c>
      <c r="J128" s="49" t="s">
        <v>81</v>
      </c>
      <c r="K128" s="49">
        <v>3</v>
      </c>
      <c r="L128" s="49">
        <v>25</v>
      </c>
      <c r="M128" s="49">
        <v>0.03</v>
      </c>
      <c r="N128" s="49">
        <v>75</v>
      </c>
      <c r="O128" s="49">
        <v>72.75</v>
      </c>
      <c r="P128" s="49">
        <v>45.77</v>
      </c>
      <c r="Q128" s="49">
        <v>26.98</v>
      </c>
      <c r="R128" s="49">
        <v>0.37090000000000001</v>
      </c>
      <c r="S128" s="49">
        <v>0.62909999999999999</v>
      </c>
      <c r="T128" s="49">
        <v>88</v>
      </c>
      <c r="U128" s="49">
        <v>9.7000000000000003E-2</v>
      </c>
      <c r="V128" s="49">
        <v>1</v>
      </c>
      <c r="W128" s="50">
        <v>0.33329999999999999</v>
      </c>
      <c r="X128" s="43"/>
      <c r="Y128" s="43"/>
      <c r="Z128" s="43"/>
      <c r="AA128" s="43"/>
      <c r="AB128" s="43"/>
      <c r="AC128" s="43"/>
    </row>
    <row r="129" spans="1:29" x14ac:dyDescent="0.3">
      <c r="A129" s="43"/>
      <c r="B129" s="45" t="s">
        <v>270</v>
      </c>
      <c r="C129" s="48">
        <v>46017</v>
      </c>
      <c r="D129" s="49" t="s">
        <v>140</v>
      </c>
      <c r="E129" s="49" t="s">
        <v>71</v>
      </c>
      <c r="F129" s="49" t="s">
        <v>73</v>
      </c>
      <c r="G129" s="49" t="s">
        <v>144</v>
      </c>
      <c r="H129" s="49" t="s">
        <v>82</v>
      </c>
      <c r="I129" s="49" t="s">
        <v>83</v>
      </c>
      <c r="J129" s="49" t="s">
        <v>81</v>
      </c>
      <c r="K129" s="49">
        <v>4</v>
      </c>
      <c r="L129" s="49">
        <v>300</v>
      </c>
      <c r="M129" s="49">
        <v>0.08</v>
      </c>
      <c r="N129" s="49">
        <v>1200</v>
      </c>
      <c r="O129" s="49">
        <v>1104</v>
      </c>
      <c r="P129" s="49">
        <v>905.28</v>
      </c>
      <c r="Q129" s="49">
        <v>198.72</v>
      </c>
      <c r="R129" s="49">
        <v>0.18</v>
      </c>
      <c r="S129" s="49">
        <v>0.82</v>
      </c>
      <c r="T129" s="49">
        <v>2532</v>
      </c>
      <c r="U129" s="49">
        <v>1.1499999999999999</v>
      </c>
      <c r="V129" s="49">
        <v>0</v>
      </c>
      <c r="W129" s="50">
        <v>0</v>
      </c>
      <c r="X129" s="43"/>
      <c r="Y129" s="43"/>
      <c r="Z129" s="43"/>
      <c r="AA129" s="43"/>
      <c r="AB129" s="43"/>
      <c r="AC129" s="43"/>
    </row>
    <row r="130" spans="1:29" x14ac:dyDescent="0.3">
      <c r="A130" s="43"/>
      <c r="B130" s="45" t="s">
        <v>271</v>
      </c>
      <c r="C130" s="48">
        <v>45809</v>
      </c>
      <c r="D130" s="49" t="s">
        <v>137</v>
      </c>
      <c r="E130" s="49" t="s">
        <v>71</v>
      </c>
      <c r="F130" s="49" t="s">
        <v>72</v>
      </c>
      <c r="G130" s="49" t="s">
        <v>147</v>
      </c>
      <c r="H130" s="49" t="s">
        <v>82</v>
      </c>
      <c r="I130" s="49" t="s">
        <v>83</v>
      </c>
      <c r="J130" s="49" t="s">
        <v>86</v>
      </c>
      <c r="K130" s="49">
        <v>5</v>
      </c>
      <c r="L130" s="49">
        <v>300</v>
      </c>
      <c r="M130" s="49">
        <v>0</v>
      </c>
      <c r="N130" s="49">
        <v>1500</v>
      </c>
      <c r="O130" s="49">
        <v>1500</v>
      </c>
      <c r="P130" s="49">
        <v>799.59</v>
      </c>
      <c r="Q130" s="49">
        <v>700.41</v>
      </c>
      <c r="R130" s="49">
        <v>0.46689999999999998</v>
      </c>
      <c r="S130" s="49">
        <v>0.53310000000000002</v>
      </c>
      <c r="T130" s="49">
        <v>1554</v>
      </c>
      <c r="U130" s="49">
        <v>2.3809999999999998</v>
      </c>
      <c r="V130" s="49">
        <v>1</v>
      </c>
      <c r="W130" s="50">
        <v>0.2</v>
      </c>
      <c r="X130" s="43"/>
      <c r="Y130" s="43"/>
      <c r="Z130" s="43"/>
      <c r="AA130" s="43"/>
      <c r="AB130" s="43"/>
      <c r="AC130" s="43"/>
    </row>
    <row r="131" spans="1:29" x14ac:dyDescent="0.3">
      <c r="A131" s="43"/>
      <c r="B131" s="45" t="s">
        <v>272</v>
      </c>
      <c r="C131" s="48">
        <v>45765</v>
      </c>
      <c r="D131" s="49" t="s">
        <v>143</v>
      </c>
      <c r="E131" s="49" t="s">
        <v>69</v>
      </c>
      <c r="F131" s="49" t="s">
        <v>73</v>
      </c>
      <c r="G131" s="49" t="s">
        <v>144</v>
      </c>
      <c r="H131" s="49" t="s">
        <v>82</v>
      </c>
      <c r="I131" s="49" t="s">
        <v>83</v>
      </c>
      <c r="J131" s="49" t="s">
        <v>81</v>
      </c>
      <c r="K131" s="49">
        <v>1</v>
      </c>
      <c r="L131" s="49">
        <v>60</v>
      </c>
      <c r="M131" s="49">
        <v>0</v>
      </c>
      <c r="N131" s="49">
        <v>60</v>
      </c>
      <c r="O131" s="49">
        <v>60</v>
      </c>
      <c r="P131" s="49">
        <v>38.19</v>
      </c>
      <c r="Q131" s="49">
        <v>21.81</v>
      </c>
      <c r="R131" s="49">
        <v>0.36349999999999999</v>
      </c>
      <c r="S131" s="49">
        <v>0.63649999999999995</v>
      </c>
      <c r="T131" s="49">
        <v>51</v>
      </c>
      <c r="U131" s="49">
        <v>7.1400000000000005E-2</v>
      </c>
      <c r="V131" s="49">
        <v>0</v>
      </c>
      <c r="W131" s="50">
        <v>0</v>
      </c>
      <c r="X131" s="43"/>
      <c r="Y131" s="43"/>
      <c r="Z131" s="43"/>
      <c r="AA131" s="43"/>
      <c r="AB131" s="43"/>
      <c r="AC131" s="43"/>
    </row>
    <row r="132" spans="1:29" x14ac:dyDescent="0.3">
      <c r="A132" s="43"/>
      <c r="B132" s="45" t="s">
        <v>273</v>
      </c>
      <c r="C132" s="48">
        <v>45701</v>
      </c>
      <c r="D132" s="49" t="s">
        <v>149</v>
      </c>
      <c r="E132" s="49" t="s">
        <v>70</v>
      </c>
      <c r="F132" s="49" t="s">
        <v>76</v>
      </c>
      <c r="G132" s="49" t="s">
        <v>153</v>
      </c>
      <c r="H132" s="49" t="s">
        <v>82</v>
      </c>
      <c r="I132" s="49" t="s">
        <v>80</v>
      </c>
      <c r="J132" s="49" t="s">
        <v>86</v>
      </c>
      <c r="K132" s="49">
        <v>10</v>
      </c>
      <c r="L132" s="49">
        <v>80</v>
      </c>
      <c r="M132" s="49">
        <v>0</v>
      </c>
      <c r="N132" s="49">
        <v>800</v>
      </c>
      <c r="O132" s="49">
        <v>800</v>
      </c>
      <c r="P132" s="49">
        <v>437.53</v>
      </c>
      <c r="Q132" s="49">
        <v>362.47</v>
      </c>
      <c r="R132" s="49">
        <v>0.4531</v>
      </c>
      <c r="S132" s="49">
        <v>0.54690000000000005</v>
      </c>
      <c r="T132" s="49">
        <v>532</v>
      </c>
      <c r="U132" s="49">
        <v>0.88890000000000002</v>
      </c>
      <c r="V132" s="49">
        <v>0</v>
      </c>
      <c r="W132" s="50">
        <v>0</v>
      </c>
      <c r="X132" s="43"/>
      <c r="Y132" s="43"/>
      <c r="Z132" s="43"/>
      <c r="AA132" s="43"/>
      <c r="AB132" s="43"/>
      <c r="AC132" s="43"/>
    </row>
    <row r="133" spans="1:29" x14ac:dyDescent="0.3">
      <c r="A133" s="43"/>
      <c r="B133" s="45" t="s">
        <v>274</v>
      </c>
      <c r="C133" s="48">
        <v>45416</v>
      </c>
      <c r="D133" s="49" t="s">
        <v>143</v>
      </c>
      <c r="E133" s="49" t="s">
        <v>69</v>
      </c>
      <c r="F133" s="49" t="s">
        <v>75</v>
      </c>
      <c r="G133" s="49" t="s">
        <v>138</v>
      </c>
      <c r="H133" s="49" t="s">
        <v>84</v>
      </c>
      <c r="I133" s="49" t="s">
        <v>83</v>
      </c>
      <c r="J133" s="49" t="s">
        <v>86</v>
      </c>
      <c r="K133" s="49">
        <v>7</v>
      </c>
      <c r="L133" s="49">
        <v>100</v>
      </c>
      <c r="M133" s="49">
        <v>0.05</v>
      </c>
      <c r="N133" s="49">
        <v>700</v>
      </c>
      <c r="O133" s="49">
        <v>665</v>
      </c>
      <c r="P133" s="49">
        <v>456.32</v>
      </c>
      <c r="Q133" s="49">
        <v>208.68</v>
      </c>
      <c r="R133" s="49">
        <v>0.31380000000000002</v>
      </c>
      <c r="S133" s="49">
        <v>0.68620000000000003</v>
      </c>
      <c r="T133" s="49">
        <v>888</v>
      </c>
      <c r="U133" s="49">
        <v>0.97509999999999997</v>
      </c>
      <c r="V133" s="49">
        <v>0</v>
      </c>
      <c r="W133" s="50">
        <v>0</v>
      </c>
      <c r="X133" s="43"/>
      <c r="Y133" s="43"/>
      <c r="Z133" s="43"/>
      <c r="AA133" s="43"/>
      <c r="AB133" s="43"/>
      <c r="AC133" s="43"/>
    </row>
    <row r="134" spans="1:29" x14ac:dyDescent="0.3">
      <c r="A134" s="43"/>
      <c r="B134" s="45" t="s">
        <v>275</v>
      </c>
      <c r="C134" s="48">
        <v>45720</v>
      </c>
      <c r="D134" s="49" t="s">
        <v>149</v>
      </c>
      <c r="E134" s="49" t="s">
        <v>70</v>
      </c>
      <c r="F134" s="49" t="s">
        <v>72</v>
      </c>
      <c r="G134" s="49" t="s">
        <v>147</v>
      </c>
      <c r="H134" s="49" t="s">
        <v>84</v>
      </c>
      <c r="I134" s="49" t="s">
        <v>83</v>
      </c>
      <c r="J134" s="49" t="s">
        <v>81</v>
      </c>
      <c r="K134" s="49">
        <v>5</v>
      </c>
      <c r="L134" s="49">
        <v>500</v>
      </c>
      <c r="M134" s="49">
        <v>0.08</v>
      </c>
      <c r="N134" s="49">
        <v>2500</v>
      </c>
      <c r="O134" s="49">
        <v>2300</v>
      </c>
      <c r="P134" s="49">
        <v>1202.5899999999999</v>
      </c>
      <c r="Q134" s="49">
        <v>1097.4100000000001</v>
      </c>
      <c r="R134" s="49">
        <v>0.47710000000000002</v>
      </c>
      <c r="S134" s="49">
        <v>0.52290000000000003</v>
      </c>
      <c r="T134" s="49">
        <v>2784</v>
      </c>
      <c r="U134" s="49">
        <v>3.8332999999999999</v>
      </c>
      <c r="V134" s="49">
        <v>0</v>
      </c>
      <c r="W134" s="50">
        <v>0</v>
      </c>
      <c r="X134" s="43"/>
      <c r="Y134" s="43"/>
      <c r="Z134" s="43"/>
      <c r="AA134" s="43"/>
      <c r="AB134" s="43"/>
      <c r="AC134" s="43"/>
    </row>
    <row r="135" spans="1:29" x14ac:dyDescent="0.3">
      <c r="A135" s="43"/>
      <c r="B135" s="45" t="s">
        <v>276</v>
      </c>
      <c r="C135" s="48">
        <v>45421</v>
      </c>
      <c r="D135" s="49" t="s">
        <v>143</v>
      </c>
      <c r="E135" s="49" t="s">
        <v>69</v>
      </c>
      <c r="F135" s="49" t="s">
        <v>74</v>
      </c>
      <c r="G135" s="49" t="s">
        <v>144</v>
      </c>
      <c r="H135" s="49" t="s">
        <v>82</v>
      </c>
      <c r="I135" s="49" t="s">
        <v>80</v>
      </c>
      <c r="J135" s="49" t="s">
        <v>81</v>
      </c>
      <c r="K135" s="49">
        <v>5</v>
      </c>
      <c r="L135" s="49">
        <v>300</v>
      </c>
      <c r="M135" s="49">
        <v>0.05</v>
      </c>
      <c r="N135" s="49">
        <v>1500</v>
      </c>
      <c r="O135" s="49">
        <v>1425</v>
      </c>
      <c r="P135" s="49">
        <v>1168.5</v>
      </c>
      <c r="Q135" s="49">
        <v>256.5</v>
      </c>
      <c r="R135" s="49">
        <v>0.18</v>
      </c>
      <c r="S135" s="49">
        <v>0.82</v>
      </c>
      <c r="T135" s="49">
        <v>1112</v>
      </c>
      <c r="U135" s="49">
        <v>1.8084</v>
      </c>
      <c r="V135" s="49">
        <v>0</v>
      </c>
      <c r="W135" s="50">
        <v>0</v>
      </c>
      <c r="X135" s="43"/>
      <c r="Y135" s="43"/>
      <c r="Z135" s="43"/>
      <c r="AA135" s="43"/>
      <c r="AB135" s="43"/>
      <c r="AC135" s="43"/>
    </row>
    <row r="136" spans="1:29" x14ac:dyDescent="0.3">
      <c r="A136" s="43"/>
      <c r="B136" s="45" t="s">
        <v>277</v>
      </c>
      <c r="C136" s="48">
        <v>45608</v>
      </c>
      <c r="D136" s="49" t="s">
        <v>161</v>
      </c>
      <c r="E136" s="49" t="s">
        <v>68</v>
      </c>
      <c r="F136" s="49" t="s">
        <v>74</v>
      </c>
      <c r="G136" s="49" t="s">
        <v>183</v>
      </c>
      <c r="H136" s="49" t="s">
        <v>85</v>
      </c>
      <c r="I136" s="49" t="s">
        <v>83</v>
      </c>
      <c r="J136" s="49" t="s">
        <v>81</v>
      </c>
      <c r="K136" s="49">
        <v>3</v>
      </c>
      <c r="L136" s="49">
        <v>25</v>
      </c>
      <c r="M136" s="49">
        <v>0.05</v>
      </c>
      <c r="N136" s="49">
        <v>75</v>
      </c>
      <c r="O136" s="49">
        <v>71.25</v>
      </c>
      <c r="P136" s="49">
        <v>51.38</v>
      </c>
      <c r="Q136" s="49">
        <v>19.87</v>
      </c>
      <c r="R136" s="49">
        <v>0.27889999999999998</v>
      </c>
      <c r="S136" s="49">
        <v>0.72109999999999996</v>
      </c>
      <c r="T136" s="49">
        <v>77</v>
      </c>
      <c r="U136" s="49">
        <v>7.9200000000000007E-2</v>
      </c>
      <c r="V136" s="49">
        <v>0</v>
      </c>
      <c r="W136" s="50">
        <v>0</v>
      </c>
      <c r="X136" s="43"/>
      <c r="Y136" s="43"/>
      <c r="Z136" s="43"/>
      <c r="AA136" s="43"/>
      <c r="AB136" s="43"/>
      <c r="AC136" s="43"/>
    </row>
    <row r="137" spans="1:29" x14ac:dyDescent="0.3">
      <c r="A137" s="43"/>
      <c r="B137" s="45" t="s">
        <v>278</v>
      </c>
      <c r="C137" s="48">
        <v>45356</v>
      </c>
      <c r="D137" s="49" t="s">
        <v>137</v>
      </c>
      <c r="E137" s="49" t="s">
        <v>71</v>
      </c>
      <c r="F137" s="49" t="s">
        <v>75</v>
      </c>
      <c r="G137" s="49" t="s">
        <v>138</v>
      </c>
      <c r="H137" s="49" t="s">
        <v>82</v>
      </c>
      <c r="I137" s="49" t="s">
        <v>80</v>
      </c>
      <c r="J137" s="49" t="s">
        <v>81</v>
      </c>
      <c r="K137" s="49">
        <v>5</v>
      </c>
      <c r="L137" s="49">
        <v>40</v>
      </c>
      <c r="M137" s="49">
        <v>0</v>
      </c>
      <c r="N137" s="49">
        <v>200</v>
      </c>
      <c r="O137" s="49">
        <v>200</v>
      </c>
      <c r="P137" s="49">
        <v>123.48</v>
      </c>
      <c r="Q137" s="49">
        <v>76.52</v>
      </c>
      <c r="R137" s="49">
        <v>0.3826</v>
      </c>
      <c r="S137" s="49">
        <v>0.61739999999999995</v>
      </c>
      <c r="T137" s="49">
        <v>117</v>
      </c>
      <c r="U137" s="49">
        <v>0.30769999999999997</v>
      </c>
      <c r="V137" s="49">
        <v>0</v>
      </c>
      <c r="W137" s="50">
        <v>0</v>
      </c>
      <c r="X137" s="43"/>
      <c r="Y137" s="43"/>
      <c r="Z137" s="43"/>
      <c r="AA137" s="43"/>
      <c r="AB137" s="43"/>
      <c r="AC137" s="43"/>
    </row>
    <row r="138" spans="1:29" x14ac:dyDescent="0.3">
      <c r="A138" s="43"/>
      <c r="B138" s="45" t="s">
        <v>279</v>
      </c>
      <c r="C138" s="48">
        <v>45604</v>
      </c>
      <c r="D138" s="49" t="s">
        <v>143</v>
      </c>
      <c r="E138" s="49" t="s">
        <v>69</v>
      </c>
      <c r="F138" s="49" t="s">
        <v>73</v>
      </c>
      <c r="G138" s="49" t="s">
        <v>147</v>
      </c>
      <c r="H138" s="49" t="s">
        <v>79</v>
      </c>
      <c r="I138" s="49" t="s">
        <v>80</v>
      </c>
      <c r="J138" s="49" t="s">
        <v>81</v>
      </c>
      <c r="K138" s="49">
        <v>2</v>
      </c>
      <c r="L138" s="49">
        <v>60</v>
      </c>
      <c r="M138" s="49">
        <v>0</v>
      </c>
      <c r="N138" s="49">
        <v>120</v>
      </c>
      <c r="O138" s="49">
        <v>120</v>
      </c>
      <c r="P138" s="49">
        <v>83.33</v>
      </c>
      <c r="Q138" s="49">
        <v>36.67</v>
      </c>
      <c r="R138" s="49">
        <v>0.30559999999999998</v>
      </c>
      <c r="S138" s="49">
        <v>0.69440000000000002</v>
      </c>
      <c r="T138" s="49">
        <v>202</v>
      </c>
      <c r="U138" s="49">
        <v>0.125</v>
      </c>
      <c r="V138" s="49">
        <v>0</v>
      </c>
      <c r="W138" s="50">
        <v>0</v>
      </c>
      <c r="X138" s="43"/>
      <c r="Y138" s="43"/>
      <c r="Z138" s="43"/>
      <c r="AA138" s="43"/>
      <c r="AB138" s="43"/>
      <c r="AC138" s="43"/>
    </row>
    <row r="139" spans="1:29" x14ac:dyDescent="0.3">
      <c r="A139" s="43"/>
      <c r="B139" s="45" t="s">
        <v>280</v>
      </c>
      <c r="C139" s="48">
        <v>45454</v>
      </c>
      <c r="D139" s="49" t="s">
        <v>151</v>
      </c>
      <c r="E139" s="49" t="s">
        <v>70</v>
      </c>
      <c r="F139" s="49" t="s">
        <v>72</v>
      </c>
      <c r="G139" s="49" t="s">
        <v>144</v>
      </c>
      <c r="H139" s="49" t="s">
        <v>79</v>
      </c>
      <c r="I139" s="49" t="s">
        <v>83</v>
      </c>
      <c r="J139" s="49" t="s">
        <v>81</v>
      </c>
      <c r="K139" s="49">
        <v>1</v>
      </c>
      <c r="L139" s="49">
        <v>80</v>
      </c>
      <c r="M139" s="49">
        <v>0.08</v>
      </c>
      <c r="N139" s="49">
        <v>80</v>
      </c>
      <c r="O139" s="49">
        <v>73.599999999999994</v>
      </c>
      <c r="P139" s="49">
        <v>49.36</v>
      </c>
      <c r="Q139" s="49">
        <v>24.24</v>
      </c>
      <c r="R139" s="49">
        <v>0.32929999999999998</v>
      </c>
      <c r="S139" s="49">
        <v>0.67069999999999996</v>
      </c>
      <c r="T139" s="49">
        <v>142</v>
      </c>
      <c r="U139" s="49">
        <v>0.1168</v>
      </c>
      <c r="V139" s="49">
        <v>0</v>
      </c>
      <c r="W139" s="50">
        <v>0</v>
      </c>
      <c r="X139" s="43"/>
      <c r="Y139" s="43"/>
      <c r="Z139" s="43"/>
      <c r="AA139" s="43"/>
      <c r="AB139" s="43"/>
      <c r="AC139" s="43"/>
    </row>
    <row r="140" spans="1:29" x14ac:dyDescent="0.3">
      <c r="A140" s="43"/>
      <c r="B140" s="45" t="s">
        <v>281</v>
      </c>
      <c r="C140" s="48">
        <v>45876</v>
      </c>
      <c r="D140" s="49" t="s">
        <v>161</v>
      </c>
      <c r="E140" s="49" t="s">
        <v>68</v>
      </c>
      <c r="F140" s="49" t="s">
        <v>74</v>
      </c>
      <c r="G140" s="49" t="s">
        <v>147</v>
      </c>
      <c r="H140" s="49" t="s">
        <v>84</v>
      </c>
      <c r="I140" s="49" t="s">
        <v>83</v>
      </c>
      <c r="J140" s="49" t="s">
        <v>81</v>
      </c>
      <c r="K140" s="49">
        <v>7</v>
      </c>
      <c r="L140" s="49">
        <v>25</v>
      </c>
      <c r="M140" s="49">
        <v>0.08</v>
      </c>
      <c r="N140" s="49">
        <v>175</v>
      </c>
      <c r="O140" s="49">
        <v>161</v>
      </c>
      <c r="P140" s="49">
        <v>121.58</v>
      </c>
      <c r="Q140" s="49">
        <v>39.42</v>
      </c>
      <c r="R140" s="49">
        <v>0.24479999999999999</v>
      </c>
      <c r="S140" s="49">
        <v>0.75519999999999998</v>
      </c>
      <c r="T140" s="49">
        <v>196</v>
      </c>
      <c r="U140" s="49">
        <v>0.19170000000000001</v>
      </c>
      <c r="V140" s="49">
        <v>0</v>
      </c>
      <c r="W140" s="50">
        <v>0</v>
      </c>
      <c r="X140" s="43"/>
      <c r="Y140" s="43"/>
      <c r="Z140" s="43"/>
      <c r="AA140" s="43"/>
      <c r="AB140" s="43"/>
      <c r="AC140" s="43"/>
    </row>
    <row r="141" spans="1:29" x14ac:dyDescent="0.3">
      <c r="A141" s="43"/>
      <c r="B141" s="45" t="s">
        <v>282</v>
      </c>
      <c r="C141" s="48">
        <v>45570</v>
      </c>
      <c r="D141" s="49" t="s">
        <v>161</v>
      </c>
      <c r="E141" s="49" t="s">
        <v>68</v>
      </c>
      <c r="F141" s="49" t="s">
        <v>74</v>
      </c>
      <c r="G141" s="49" t="s">
        <v>147</v>
      </c>
      <c r="H141" s="49" t="s">
        <v>84</v>
      </c>
      <c r="I141" s="49" t="s">
        <v>80</v>
      </c>
      <c r="J141" s="49" t="s">
        <v>81</v>
      </c>
      <c r="K141" s="49">
        <v>6</v>
      </c>
      <c r="L141" s="49">
        <v>60</v>
      </c>
      <c r="M141" s="49">
        <v>0.05</v>
      </c>
      <c r="N141" s="49">
        <v>360</v>
      </c>
      <c r="O141" s="49">
        <v>342</v>
      </c>
      <c r="P141" s="49">
        <v>245.6</v>
      </c>
      <c r="Q141" s="49">
        <v>96.4</v>
      </c>
      <c r="R141" s="49">
        <v>0.28189999999999998</v>
      </c>
      <c r="S141" s="49">
        <v>0.71809999999999996</v>
      </c>
      <c r="T141" s="49">
        <v>256</v>
      </c>
      <c r="U141" s="49">
        <v>0.38</v>
      </c>
      <c r="V141" s="49">
        <v>0</v>
      </c>
      <c r="W141" s="50">
        <v>0</v>
      </c>
      <c r="X141" s="43"/>
      <c r="Y141" s="43"/>
      <c r="Z141" s="43"/>
      <c r="AA141" s="43"/>
      <c r="AB141" s="43"/>
      <c r="AC141" s="43"/>
    </row>
    <row r="142" spans="1:29" x14ac:dyDescent="0.3">
      <c r="A142" s="43"/>
      <c r="B142" s="45" t="s">
        <v>283</v>
      </c>
      <c r="C142" s="48">
        <v>45618</v>
      </c>
      <c r="D142" s="49" t="s">
        <v>140</v>
      </c>
      <c r="E142" s="49" t="s">
        <v>71</v>
      </c>
      <c r="F142" s="49" t="s">
        <v>73</v>
      </c>
      <c r="G142" s="49" t="s">
        <v>183</v>
      </c>
      <c r="H142" s="49" t="s">
        <v>84</v>
      </c>
      <c r="I142" s="49" t="s">
        <v>83</v>
      </c>
      <c r="J142" s="49" t="s">
        <v>81</v>
      </c>
      <c r="K142" s="49">
        <v>5</v>
      </c>
      <c r="L142" s="49">
        <v>100</v>
      </c>
      <c r="M142" s="49">
        <v>0.03</v>
      </c>
      <c r="N142" s="49">
        <v>500</v>
      </c>
      <c r="O142" s="49">
        <v>485</v>
      </c>
      <c r="P142" s="49">
        <v>381.34</v>
      </c>
      <c r="Q142" s="49">
        <v>103.66</v>
      </c>
      <c r="R142" s="49">
        <v>0.2137</v>
      </c>
      <c r="S142" s="49">
        <v>0.7863</v>
      </c>
      <c r="T142" s="49">
        <v>917</v>
      </c>
      <c r="U142" s="49">
        <v>0.50519999999999998</v>
      </c>
      <c r="V142" s="49">
        <v>0</v>
      </c>
      <c r="W142" s="50">
        <v>0</v>
      </c>
      <c r="X142" s="43"/>
      <c r="Y142" s="43"/>
      <c r="Z142" s="43"/>
      <c r="AA142" s="43"/>
      <c r="AB142" s="43"/>
      <c r="AC142" s="43"/>
    </row>
    <row r="143" spans="1:29" x14ac:dyDescent="0.3">
      <c r="A143" s="43"/>
      <c r="B143" s="45" t="s">
        <v>284</v>
      </c>
      <c r="C143" s="48">
        <v>45496</v>
      </c>
      <c r="D143" s="49" t="s">
        <v>161</v>
      </c>
      <c r="E143" s="49" t="s">
        <v>68</v>
      </c>
      <c r="F143" s="49" t="s">
        <v>74</v>
      </c>
      <c r="G143" s="49" t="s">
        <v>183</v>
      </c>
      <c r="H143" s="49" t="s">
        <v>84</v>
      </c>
      <c r="I143" s="49" t="s">
        <v>83</v>
      </c>
      <c r="J143" s="49" t="s">
        <v>86</v>
      </c>
      <c r="K143" s="49">
        <v>2</v>
      </c>
      <c r="L143" s="49">
        <v>60</v>
      </c>
      <c r="M143" s="49">
        <v>0</v>
      </c>
      <c r="N143" s="49">
        <v>120</v>
      </c>
      <c r="O143" s="49">
        <v>120</v>
      </c>
      <c r="P143" s="49">
        <v>69.77</v>
      </c>
      <c r="Q143" s="49">
        <v>50.23</v>
      </c>
      <c r="R143" s="49">
        <v>0.41860000000000003</v>
      </c>
      <c r="S143" s="49">
        <v>0.58140000000000003</v>
      </c>
      <c r="T143" s="49">
        <v>283</v>
      </c>
      <c r="U143" s="49">
        <v>0.1429</v>
      </c>
      <c r="V143" s="49">
        <v>0</v>
      </c>
      <c r="W143" s="50">
        <v>0</v>
      </c>
      <c r="X143" s="43"/>
      <c r="Y143" s="43"/>
      <c r="Z143" s="43"/>
      <c r="AA143" s="43"/>
      <c r="AB143" s="43"/>
      <c r="AC143" s="43"/>
    </row>
    <row r="144" spans="1:29" x14ac:dyDescent="0.3">
      <c r="A144" s="43"/>
      <c r="B144" s="45" t="s">
        <v>285</v>
      </c>
      <c r="C144" s="48">
        <v>45651</v>
      </c>
      <c r="D144" s="49" t="s">
        <v>140</v>
      </c>
      <c r="E144" s="49" t="s">
        <v>71</v>
      </c>
      <c r="F144" s="49" t="s">
        <v>76</v>
      </c>
      <c r="G144" s="49" t="s">
        <v>144</v>
      </c>
      <c r="H144" s="49" t="s">
        <v>85</v>
      </c>
      <c r="I144" s="49" t="s">
        <v>80</v>
      </c>
      <c r="J144" s="49" t="s">
        <v>81</v>
      </c>
      <c r="K144" s="49">
        <v>7</v>
      </c>
      <c r="L144" s="49">
        <v>25</v>
      </c>
      <c r="M144" s="49">
        <v>0.05</v>
      </c>
      <c r="N144" s="49">
        <v>175</v>
      </c>
      <c r="O144" s="49">
        <v>166.25</v>
      </c>
      <c r="P144" s="49">
        <v>136.32</v>
      </c>
      <c r="Q144" s="49">
        <v>29.93</v>
      </c>
      <c r="R144" s="49">
        <v>0.18</v>
      </c>
      <c r="S144" s="49">
        <v>0.82</v>
      </c>
      <c r="T144" s="49">
        <v>200</v>
      </c>
      <c r="U144" s="49">
        <v>0.15390000000000001</v>
      </c>
      <c r="V144" s="49">
        <v>0</v>
      </c>
      <c r="W144" s="50">
        <v>0</v>
      </c>
      <c r="X144" s="43"/>
      <c r="Y144" s="43"/>
      <c r="Z144" s="43"/>
      <c r="AA144" s="43"/>
      <c r="AB144" s="43"/>
      <c r="AC144" s="43"/>
    </row>
    <row r="145" spans="1:29" x14ac:dyDescent="0.3">
      <c r="A145" s="43"/>
      <c r="B145" s="45" t="s">
        <v>286</v>
      </c>
      <c r="C145" s="48">
        <v>45988</v>
      </c>
      <c r="D145" s="49" t="s">
        <v>161</v>
      </c>
      <c r="E145" s="49" t="s">
        <v>68</v>
      </c>
      <c r="F145" s="49" t="s">
        <v>76</v>
      </c>
      <c r="G145" s="49" t="s">
        <v>138</v>
      </c>
      <c r="H145" s="49" t="s">
        <v>79</v>
      </c>
      <c r="I145" s="49" t="s">
        <v>83</v>
      </c>
      <c r="J145" s="49" t="s">
        <v>81</v>
      </c>
      <c r="K145" s="49">
        <v>7</v>
      </c>
      <c r="L145" s="49">
        <v>200</v>
      </c>
      <c r="M145" s="49">
        <v>0.05</v>
      </c>
      <c r="N145" s="49">
        <v>1400</v>
      </c>
      <c r="O145" s="49">
        <v>1330</v>
      </c>
      <c r="P145" s="49">
        <v>884.15</v>
      </c>
      <c r="Q145" s="49">
        <v>445.85</v>
      </c>
      <c r="R145" s="49">
        <v>0.3352</v>
      </c>
      <c r="S145" s="49">
        <v>0.66479999999999995</v>
      </c>
      <c r="T145" s="49">
        <v>1641</v>
      </c>
      <c r="U145" s="49">
        <v>1.2315</v>
      </c>
      <c r="V145" s="49">
        <v>1</v>
      </c>
      <c r="W145" s="50">
        <v>0.1429</v>
      </c>
      <c r="X145" s="43"/>
      <c r="Y145" s="43"/>
      <c r="Z145" s="43"/>
      <c r="AA145" s="43"/>
      <c r="AB145" s="43"/>
      <c r="AC145" s="43"/>
    </row>
    <row r="146" spans="1:29" x14ac:dyDescent="0.3">
      <c r="A146" s="43"/>
      <c r="B146" s="45" t="s">
        <v>287</v>
      </c>
      <c r="C146" s="48">
        <v>45986</v>
      </c>
      <c r="D146" s="49" t="s">
        <v>137</v>
      </c>
      <c r="E146" s="49" t="s">
        <v>71</v>
      </c>
      <c r="F146" s="49" t="s">
        <v>76</v>
      </c>
      <c r="G146" s="49" t="s">
        <v>147</v>
      </c>
      <c r="H146" s="49" t="s">
        <v>82</v>
      </c>
      <c r="I146" s="49" t="s">
        <v>80</v>
      </c>
      <c r="J146" s="49" t="s">
        <v>81</v>
      </c>
      <c r="K146" s="49">
        <v>3</v>
      </c>
      <c r="L146" s="49">
        <v>25</v>
      </c>
      <c r="M146" s="49">
        <v>0</v>
      </c>
      <c r="N146" s="49">
        <v>75</v>
      </c>
      <c r="O146" s="49">
        <v>75</v>
      </c>
      <c r="P146" s="49">
        <v>48.94</v>
      </c>
      <c r="Q146" s="49">
        <v>26.06</v>
      </c>
      <c r="R146" s="49">
        <v>0.34749999999999998</v>
      </c>
      <c r="S146" s="49">
        <v>0.65249999999999997</v>
      </c>
      <c r="T146" s="49">
        <v>91</v>
      </c>
      <c r="U146" s="49">
        <v>6.9400000000000003E-2</v>
      </c>
      <c r="V146" s="49">
        <v>0</v>
      </c>
      <c r="W146" s="50">
        <v>0</v>
      </c>
      <c r="X146" s="43"/>
      <c r="Y146" s="43"/>
      <c r="Z146" s="43"/>
      <c r="AA146" s="43"/>
      <c r="AB146" s="43"/>
      <c r="AC146" s="43"/>
    </row>
    <row r="147" spans="1:29" x14ac:dyDescent="0.3">
      <c r="A147" s="43"/>
      <c r="B147" s="45" t="s">
        <v>288</v>
      </c>
      <c r="C147" s="48">
        <v>45880</v>
      </c>
      <c r="D147" s="49" t="s">
        <v>143</v>
      </c>
      <c r="E147" s="49" t="s">
        <v>69</v>
      </c>
      <c r="F147" s="49" t="s">
        <v>73</v>
      </c>
      <c r="G147" s="49" t="s">
        <v>144</v>
      </c>
      <c r="H147" s="49" t="s">
        <v>84</v>
      </c>
      <c r="I147" s="49" t="s">
        <v>80</v>
      </c>
      <c r="J147" s="49" t="s">
        <v>81</v>
      </c>
      <c r="K147" s="49">
        <v>8</v>
      </c>
      <c r="L147" s="49">
        <v>100</v>
      </c>
      <c r="M147" s="49">
        <v>0</v>
      </c>
      <c r="N147" s="49">
        <v>800</v>
      </c>
      <c r="O147" s="49">
        <v>800</v>
      </c>
      <c r="P147" s="49">
        <v>569.26</v>
      </c>
      <c r="Q147" s="49">
        <v>230.74</v>
      </c>
      <c r="R147" s="49">
        <v>0.28839999999999999</v>
      </c>
      <c r="S147" s="49">
        <v>0.71160000000000001</v>
      </c>
      <c r="T147" s="49">
        <v>862</v>
      </c>
      <c r="U147" s="49">
        <v>0.89290000000000003</v>
      </c>
      <c r="V147" s="49">
        <v>0</v>
      </c>
      <c r="W147" s="50">
        <v>0</v>
      </c>
      <c r="X147" s="43"/>
      <c r="Y147" s="43"/>
      <c r="Z147" s="43"/>
      <c r="AA147" s="43"/>
      <c r="AB147" s="43"/>
      <c r="AC147" s="43"/>
    </row>
    <row r="148" spans="1:29" x14ac:dyDescent="0.3">
      <c r="A148" s="43"/>
      <c r="B148" s="45" t="s">
        <v>289</v>
      </c>
      <c r="C148" s="48">
        <v>45867</v>
      </c>
      <c r="D148" s="49" t="s">
        <v>140</v>
      </c>
      <c r="E148" s="49" t="s">
        <v>71</v>
      </c>
      <c r="F148" s="49" t="s">
        <v>72</v>
      </c>
      <c r="G148" s="49" t="s">
        <v>141</v>
      </c>
      <c r="H148" s="49" t="s">
        <v>79</v>
      </c>
      <c r="I148" s="49" t="s">
        <v>80</v>
      </c>
      <c r="J148" s="49" t="s">
        <v>81</v>
      </c>
      <c r="K148" s="49">
        <v>7</v>
      </c>
      <c r="L148" s="49">
        <v>750</v>
      </c>
      <c r="M148" s="49">
        <v>0.1</v>
      </c>
      <c r="N148" s="49">
        <v>5250</v>
      </c>
      <c r="O148" s="49">
        <v>4725</v>
      </c>
      <c r="P148" s="49">
        <v>3355.5</v>
      </c>
      <c r="Q148" s="49">
        <v>1369.5</v>
      </c>
      <c r="R148" s="49">
        <v>0.2898</v>
      </c>
      <c r="S148" s="49">
        <v>0.71020000000000005</v>
      </c>
      <c r="T148" s="49">
        <v>4983</v>
      </c>
      <c r="U148" s="49">
        <v>7.0312000000000001</v>
      </c>
      <c r="V148" s="49">
        <v>0</v>
      </c>
      <c r="W148" s="50">
        <v>0</v>
      </c>
      <c r="X148" s="43"/>
      <c r="Y148" s="43"/>
      <c r="Z148" s="43"/>
      <c r="AA148" s="43"/>
      <c r="AB148" s="43"/>
      <c r="AC148" s="43"/>
    </row>
    <row r="149" spans="1:29" x14ac:dyDescent="0.3">
      <c r="A149" s="43"/>
      <c r="B149" s="45" t="s">
        <v>290</v>
      </c>
      <c r="C149" s="48">
        <v>45892</v>
      </c>
      <c r="D149" s="49" t="s">
        <v>161</v>
      </c>
      <c r="E149" s="49" t="s">
        <v>68</v>
      </c>
      <c r="F149" s="49" t="s">
        <v>74</v>
      </c>
      <c r="G149" s="49" t="s">
        <v>183</v>
      </c>
      <c r="H149" s="49" t="s">
        <v>85</v>
      </c>
      <c r="I149" s="49" t="s">
        <v>83</v>
      </c>
      <c r="J149" s="49" t="s">
        <v>81</v>
      </c>
      <c r="K149" s="49">
        <v>9</v>
      </c>
      <c r="L149" s="49">
        <v>200</v>
      </c>
      <c r="M149" s="49">
        <v>0.08</v>
      </c>
      <c r="N149" s="49">
        <v>1800</v>
      </c>
      <c r="O149" s="49">
        <v>1656</v>
      </c>
      <c r="P149" s="49">
        <v>1188.76</v>
      </c>
      <c r="Q149" s="49">
        <v>467.24</v>
      </c>
      <c r="R149" s="49">
        <v>0.28210000000000002</v>
      </c>
      <c r="S149" s="49">
        <v>0.71789999999999998</v>
      </c>
      <c r="T149" s="49">
        <v>1976</v>
      </c>
      <c r="U149" s="49">
        <v>1.9714</v>
      </c>
      <c r="V149" s="49">
        <v>0</v>
      </c>
      <c r="W149" s="50">
        <v>0</v>
      </c>
      <c r="X149" s="43"/>
      <c r="Y149" s="43"/>
      <c r="Z149" s="43"/>
      <c r="AA149" s="43"/>
      <c r="AB149" s="43"/>
      <c r="AC149" s="43"/>
    </row>
    <row r="150" spans="1:29" x14ac:dyDescent="0.3">
      <c r="A150" s="43"/>
      <c r="B150" s="45" t="s">
        <v>291</v>
      </c>
      <c r="C150" s="48">
        <v>45731</v>
      </c>
      <c r="D150" s="49" t="s">
        <v>143</v>
      </c>
      <c r="E150" s="49" t="s">
        <v>69</v>
      </c>
      <c r="F150" s="49" t="s">
        <v>72</v>
      </c>
      <c r="G150" s="49" t="s">
        <v>147</v>
      </c>
      <c r="H150" s="49" t="s">
        <v>84</v>
      </c>
      <c r="I150" s="49" t="s">
        <v>83</v>
      </c>
      <c r="J150" s="49" t="s">
        <v>81</v>
      </c>
      <c r="K150" s="49">
        <v>4</v>
      </c>
      <c r="L150" s="49">
        <v>40</v>
      </c>
      <c r="M150" s="49">
        <v>0.03</v>
      </c>
      <c r="N150" s="49">
        <v>160</v>
      </c>
      <c r="O150" s="49">
        <v>155.19999999999999</v>
      </c>
      <c r="P150" s="49">
        <v>100.4</v>
      </c>
      <c r="Q150" s="49">
        <v>54.8</v>
      </c>
      <c r="R150" s="49">
        <v>0.35310000000000002</v>
      </c>
      <c r="S150" s="49">
        <v>0.64690000000000003</v>
      </c>
      <c r="T150" s="49">
        <v>135</v>
      </c>
      <c r="U150" s="49">
        <v>0.25869999999999999</v>
      </c>
      <c r="V150" s="49">
        <v>0</v>
      </c>
      <c r="W150" s="50">
        <v>0</v>
      </c>
      <c r="X150" s="43"/>
      <c r="Y150" s="43"/>
      <c r="Z150" s="43"/>
      <c r="AA150" s="43"/>
      <c r="AB150" s="43"/>
      <c r="AC150" s="43"/>
    </row>
    <row r="151" spans="1:29" x14ac:dyDescent="0.3">
      <c r="A151" s="43"/>
      <c r="B151" s="45" t="s">
        <v>292</v>
      </c>
      <c r="C151" s="48">
        <v>45337</v>
      </c>
      <c r="D151" s="49" t="s">
        <v>161</v>
      </c>
      <c r="E151" s="49" t="s">
        <v>68</v>
      </c>
      <c r="F151" s="49" t="s">
        <v>76</v>
      </c>
      <c r="G151" s="49" t="s">
        <v>183</v>
      </c>
      <c r="H151" s="49" t="s">
        <v>85</v>
      </c>
      <c r="I151" s="49" t="s">
        <v>80</v>
      </c>
      <c r="J151" s="49" t="s">
        <v>81</v>
      </c>
      <c r="K151" s="49">
        <v>4</v>
      </c>
      <c r="L151" s="49">
        <v>80</v>
      </c>
      <c r="M151" s="49">
        <v>0.03</v>
      </c>
      <c r="N151" s="49">
        <v>320</v>
      </c>
      <c r="O151" s="49">
        <v>310.39999999999998</v>
      </c>
      <c r="P151" s="49">
        <v>188.3</v>
      </c>
      <c r="Q151" s="49">
        <v>122.1</v>
      </c>
      <c r="R151" s="49">
        <v>0.39340000000000003</v>
      </c>
      <c r="S151" s="49">
        <v>0.60660000000000003</v>
      </c>
      <c r="T151" s="49">
        <v>244</v>
      </c>
      <c r="U151" s="49">
        <v>0.34489999999999998</v>
      </c>
      <c r="V151" s="49">
        <v>1</v>
      </c>
      <c r="W151" s="50">
        <v>0.25</v>
      </c>
      <c r="X151" s="43"/>
      <c r="Y151" s="43"/>
      <c r="Z151" s="43"/>
      <c r="AA151" s="43"/>
      <c r="AB151" s="43"/>
      <c r="AC151" s="43"/>
    </row>
    <row r="152" spans="1:29" x14ac:dyDescent="0.3">
      <c r="A152" s="43"/>
      <c r="B152" s="45" t="s">
        <v>293</v>
      </c>
      <c r="C152" s="48">
        <v>45716</v>
      </c>
      <c r="D152" s="49" t="s">
        <v>140</v>
      </c>
      <c r="E152" s="49" t="s">
        <v>71</v>
      </c>
      <c r="F152" s="49" t="s">
        <v>73</v>
      </c>
      <c r="G152" s="49" t="s">
        <v>138</v>
      </c>
      <c r="H152" s="49" t="s">
        <v>84</v>
      </c>
      <c r="I152" s="49" t="s">
        <v>80</v>
      </c>
      <c r="J152" s="49" t="s">
        <v>81</v>
      </c>
      <c r="K152" s="49">
        <v>1</v>
      </c>
      <c r="L152" s="49">
        <v>200</v>
      </c>
      <c r="M152" s="49">
        <v>0.15</v>
      </c>
      <c r="N152" s="49">
        <v>200</v>
      </c>
      <c r="O152" s="49">
        <v>170</v>
      </c>
      <c r="P152" s="49">
        <v>112.81</v>
      </c>
      <c r="Q152" s="49">
        <v>57.19</v>
      </c>
      <c r="R152" s="49">
        <v>0.33639999999999998</v>
      </c>
      <c r="S152" s="49">
        <v>0.66359999999999997</v>
      </c>
      <c r="T152" s="49">
        <v>203</v>
      </c>
      <c r="U152" s="49">
        <v>0.21249999999999999</v>
      </c>
      <c r="V152" s="49">
        <v>0</v>
      </c>
      <c r="W152" s="50">
        <v>0</v>
      </c>
      <c r="X152" s="43"/>
      <c r="Y152" s="43"/>
      <c r="Z152" s="43"/>
      <c r="AA152" s="43"/>
      <c r="AB152" s="43"/>
      <c r="AC152" s="43"/>
    </row>
    <row r="153" spans="1:29" x14ac:dyDescent="0.3">
      <c r="A153" s="43"/>
      <c r="B153" s="45" t="s">
        <v>294</v>
      </c>
      <c r="C153" s="48">
        <v>45575</v>
      </c>
      <c r="D153" s="49" t="s">
        <v>149</v>
      </c>
      <c r="E153" s="49" t="s">
        <v>70</v>
      </c>
      <c r="F153" s="49" t="s">
        <v>75</v>
      </c>
      <c r="G153" s="49" t="s">
        <v>153</v>
      </c>
      <c r="H153" s="49" t="s">
        <v>79</v>
      </c>
      <c r="I153" s="49" t="s">
        <v>83</v>
      </c>
      <c r="J153" s="49" t="s">
        <v>81</v>
      </c>
      <c r="K153" s="49">
        <v>7</v>
      </c>
      <c r="L153" s="49">
        <v>80</v>
      </c>
      <c r="M153" s="49">
        <v>0.08</v>
      </c>
      <c r="N153" s="49">
        <v>560</v>
      </c>
      <c r="O153" s="49">
        <v>515.20000000000005</v>
      </c>
      <c r="P153" s="49">
        <v>312.08</v>
      </c>
      <c r="Q153" s="49">
        <v>203.12</v>
      </c>
      <c r="R153" s="49">
        <v>0.39429999999999998</v>
      </c>
      <c r="S153" s="49">
        <v>0.60570000000000002</v>
      </c>
      <c r="T153" s="49">
        <v>554</v>
      </c>
      <c r="U153" s="49">
        <v>0.66049999999999998</v>
      </c>
      <c r="V153" s="49">
        <v>1</v>
      </c>
      <c r="W153" s="50">
        <v>0.1429</v>
      </c>
      <c r="X153" s="43"/>
      <c r="Y153" s="43"/>
      <c r="Z153" s="43"/>
      <c r="AA153" s="43"/>
      <c r="AB153" s="43"/>
      <c r="AC153" s="43"/>
    </row>
    <row r="154" spans="1:29" x14ac:dyDescent="0.3">
      <c r="A154" s="43"/>
      <c r="B154" s="45" t="s">
        <v>295</v>
      </c>
      <c r="C154" s="48">
        <v>45514</v>
      </c>
      <c r="D154" s="49" t="s">
        <v>161</v>
      </c>
      <c r="E154" s="49" t="s">
        <v>68</v>
      </c>
      <c r="F154" s="49" t="s">
        <v>75</v>
      </c>
      <c r="G154" s="49" t="s">
        <v>138</v>
      </c>
      <c r="H154" s="49" t="s">
        <v>82</v>
      </c>
      <c r="I154" s="49" t="s">
        <v>83</v>
      </c>
      <c r="J154" s="49" t="s">
        <v>81</v>
      </c>
      <c r="K154" s="49">
        <v>7</v>
      </c>
      <c r="L154" s="49">
        <v>200</v>
      </c>
      <c r="M154" s="49">
        <v>0.08</v>
      </c>
      <c r="N154" s="49">
        <v>1400</v>
      </c>
      <c r="O154" s="49">
        <v>1288</v>
      </c>
      <c r="P154" s="49">
        <v>854.11</v>
      </c>
      <c r="Q154" s="49">
        <v>433.89</v>
      </c>
      <c r="R154" s="49">
        <v>0.33689999999999998</v>
      </c>
      <c r="S154" s="49">
        <v>0.66310000000000002</v>
      </c>
      <c r="T154" s="49">
        <v>1580</v>
      </c>
      <c r="U154" s="49">
        <v>1.7692000000000001</v>
      </c>
      <c r="V154" s="49">
        <v>0</v>
      </c>
      <c r="W154" s="50">
        <v>0</v>
      </c>
      <c r="X154" s="43"/>
      <c r="Y154" s="43"/>
      <c r="Z154" s="43"/>
      <c r="AA154" s="43"/>
      <c r="AB154" s="43"/>
      <c r="AC154" s="43"/>
    </row>
    <row r="155" spans="1:29" x14ac:dyDescent="0.3">
      <c r="A155" s="43"/>
      <c r="B155" s="45" t="s">
        <v>296</v>
      </c>
      <c r="C155" s="48">
        <v>45905</v>
      </c>
      <c r="D155" s="49" t="s">
        <v>143</v>
      </c>
      <c r="E155" s="49" t="s">
        <v>69</v>
      </c>
      <c r="F155" s="49" t="s">
        <v>72</v>
      </c>
      <c r="G155" s="49" t="s">
        <v>153</v>
      </c>
      <c r="H155" s="49" t="s">
        <v>84</v>
      </c>
      <c r="I155" s="49" t="s">
        <v>83</v>
      </c>
      <c r="J155" s="49" t="s">
        <v>81</v>
      </c>
      <c r="K155" s="49">
        <v>7</v>
      </c>
      <c r="L155" s="49">
        <v>60</v>
      </c>
      <c r="M155" s="49">
        <v>0</v>
      </c>
      <c r="N155" s="49">
        <v>420</v>
      </c>
      <c r="O155" s="49">
        <v>420</v>
      </c>
      <c r="P155" s="49">
        <v>223.99</v>
      </c>
      <c r="Q155" s="49">
        <v>196.01</v>
      </c>
      <c r="R155" s="49">
        <v>0.4667</v>
      </c>
      <c r="S155" s="49">
        <v>0.5333</v>
      </c>
      <c r="T155" s="49">
        <v>453</v>
      </c>
      <c r="U155" s="49">
        <v>0.625</v>
      </c>
      <c r="V155" s="49">
        <v>0</v>
      </c>
      <c r="W155" s="50">
        <v>0</v>
      </c>
      <c r="X155" s="43"/>
      <c r="Y155" s="43"/>
      <c r="Z155" s="43"/>
      <c r="AA155" s="43"/>
      <c r="AB155" s="43"/>
      <c r="AC155" s="43"/>
    </row>
    <row r="156" spans="1:29" x14ac:dyDescent="0.3">
      <c r="A156" s="43"/>
      <c r="B156" s="45" t="s">
        <v>297</v>
      </c>
      <c r="C156" s="48">
        <v>45922</v>
      </c>
      <c r="D156" s="49" t="s">
        <v>149</v>
      </c>
      <c r="E156" s="49" t="s">
        <v>70</v>
      </c>
      <c r="F156" s="49" t="s">
        <v>76</v>
      </c>
      <c r="G156" s="49" t="s">
        <v>153</v>
      </c>
      <c r="H156" s="49" t="s">
        <v>79</v>
      </c>
      <c r="I156" s="49" t="s">
        <v>80</v>
      </c>
      <c r="J156" s="49" t="s">
        <v>81</v>
      </c>
      <c r="K156" s="49">
        <v>2</v>
      </c>
      <c r="L156" s="49">
        <v>100</v>
      </c>
      <c r="M156" s="49">
        <v>0.08</v>
      </c>
      <c r="N156" s="49">
        <v>200</v>
      </c>
      <c r="O156" s="49">
        <v>184</v>
      </c>
      <c r="P156" s="49">
        <v>87.84</v>
      </c>
      <c r="Q156" s="49">
        <v>96.16</v>
      </c>
      <c r="R156" s="49">
        <v>0.52259999999999995</v>
      </c>
      <c r="S156" s="49">
        <v>0.47739999999999999</v>
      </c>
      <c r="T156" s="49">
        <v>348</v>
      </c>
      <c r="U156" s="49">
        <v>0.1825</v>
      </c>
      <c r="V156" s="49">
        <v>0</v>
      </c>
      <c r="W156" s="50">
        <v>0</v>
      </c>
      <c r="X156" s="43"/>
      <c r="Y156" s="43"/>
      <c r="Z156" s="43"/>
      <c r="AA156" s="43"/>
      <c r="AB156" s="43"/>
      <c r="AC156" s="43"/>
    </row>
    <row r="157" spans="1:29" x14ac:dyDescent="0.3">
      <c r="A157" s="43"/>
      <c r="B157" s="45" t="s">
        <v>298</v>
      </c>
      <c r="C157" s="48">
        <v>45797</v>
      </c>
      <c r="D157" s="49" t="s">
        <v>143</v>
      </c>
      <c r="E157" s="49" t="s">
        <v>69</v>
      </c>
      <c r="F157" s="49" t="s">
        <v>73</v>
      </c>
      <c r="G157" s="49" t="s">
        <v>141</v>
      </c>
      <c r="H157" s="49" t="s">
        <v>84</v>
      </c>
      <c r="I157" s="49" t="s">
        <v>83</v>
      </c>
      <c r="J157" s="49" t="s">
        <v>81</v>
      </c>
      <c r="K157" s="49">
        <v>7</v>
      </c>
      <c r="L157" s="49">
        <v>300</v>
      </c>
      <c r="M157" s="49">
        <v>0</v>
      </c>
      <c r="N157" s="49">
        <v>2100</v>
      </c>
      <c r="O157" s="49">
        <v>2100</v>
      </c>
      <c r="P157" s="49">
        <v>1590.89</v>
      </c>
      <c r="Q157" s="49">
        <v>509.11</v>
      </c>
      <c r="R157" s="49">
        <v>0.2424</v>
      </c>
      <c r="S157" s="49">
        <v>0.75760000000000005</v>
      </c>
      <c r="T157" s="49">
        <v>2475</v>
      </c>
      <c r="U157" s="49">
        <v>2.5</v>
      </c>
      <c r="V157" s="49">
        <v>0</v>
      </c>
      <c r="W157" s="50">
        <v>0</v>
      </c>
      <c r="X157" s="43"/>
      <c r="Y157" s="43"/>
      <c r="Z157" s="43"/>
      <c r="AA157" s="43"/>
      <c r="AB157" s="43"/>
      <c r="AC157" s="43"/>
    </row>
    <row r="158" spans="1:29" x14ac:dyDescent="0.3">
      <c r="A158" s="43"/>
      <c r="B158" s="45" t="s">
        <v>299</v>
      </c>
      <c r="C158" s="48">
        <v>45998</v>
      </c>
      <c r="D158" s="49" t="s">
        <v>140</v>
      </c>
      <c r="E158" s="49" t="s">
        <v>71</v>
      </c>
      <c r="F158" s="49" t="s">
        <v>74</v>
      </c>
      <c r="G158" s="49" t="s">
        <v>144</v>
      </c>
      <c r="H158" s="49" t="s">
        <v>85</v>
      </c>
      <c r="I158" s="49" t="s">
        <v>83</v>
      </c>
      <c r="J158" s="49" t="s">
        <v>81</v>
      </c>
      <c r="K158" s="49">
        <v>6</v>
      </c>
      <c r="L158" s="49">
        <v>750</v>
      </c>
      <c r="M158" s="49">
        <v>0.03</v>
      </c>
      <c r="N158" s="49">
        <v>4500</v>
      </c>
      <c r="O158" s="49">
        <v>4365</v>
      </c>
      <c r="P158" s="49">
        <v>3256.23</v>
      </c>
      <c r="Q158" s="49">
        <v>1108.77</v>
      </c>
      <c r="R158" s="49">
        <v>0.254</v>
      </c>
      <c r="S158" s="49">
        <v>0.746</v>
      </c>
      <c r="T158" s="49">
        <v>2940</v>
      </c>
      <c r="U158" s="49">
        <v>4.8499999999999996</v>
      </c>
      <c r="V158" s="49">
        <v>0</v>
      </c>
      <c r="W158" s="50">
        <v>0</v>
      </c>
      <c r="X158" s="43"/>
      <c r="Y158" s="43"/>
      <c r="Z158" s="43"/>
      <c r="AA158" s="43"/>
      <c r="AB158" s="43"/>
      <c r="AC158" s="43"/>
    </row>
    <row r="159" spans="1:29" x14ac:dyDescent="0.3">
      <c r="A159" s="43"/>
      <c r="B159" s="45" t="s">
        <v>300</v>
      </c>
      <c r="C159" s="48">
        <v>45330</v>
      </c>
      <c r="D159" s="49" t="s">
        <v>140</v>
      </c>
      <c r="E159" s="49" t="s">
        <v>71</v>
      </c>
      <c r="F159" s="49" t="s">
        <v>73</v>
      </c>
      <c r="G159" s="49" t="s">
        <v>183</v>
      </c>
      <c r="H159" s="49" t="s">
        <v>84</v>
      </c>
      <c r="I159" s="49" t="s">
        <v>83</v>
      </c>
      <c r="J159" s="49" t="s">
        <v>81</v>
      </c>
      <c r="K159" s="49">
        <v>4</v>
      </c>
      <c r="L159" s="49">
        <v>100</v>
      </c>
      <c r="M159" s="49">
        <v>0.1</v>
      </c>
      <c r="N159" s="49">
        <v>400</v>
      </c>
      <c r="O159" s="49">
        <v>360</v>
      </c>
      <c r="P159" s="49">
        <v>257.27999999999997</v>
      </c>
      <c r="Q159" s="49">
        <v>102.72</v>
      </c>
      <c r="R159" s="49">
        <v>0.2853</v>
      </c>
      <c r="S159" s="49">
        <v>0.7147</v>
      </c>
      <c r="T159" s="49">
        <v>542</v>
      </c>
      <c r="U159" s="49">
        <v>0.45</v>
      </c>
      <c r="V159" s="49">
        <v>0</v>
      </c>
      <c r="W159" s="50">
        <v>0</v>
      </c>
      <c r="X159" s="43"/>
      <c r="Y159" s="43"/>
      <c r="Z159" s="43"/>
      <c r="AA159" s="43"/>
      <c r="AB159" s="43"/>
      <c r="AC159" s="43"/>
    </row>
    <row r="160" spans="1:29" x14ac:dyDescent="0.3">
      <c r="A160" s="43"/>
      <c r="B160" s="45" t="s">
        <v>301</v>
      </c>
      <c r="C160" s="48">
        <v>46001</v>
      </c>
      <c r="D160" s="49" t="s">
        <v>140</v>
      </c>
      <c r="E160" s="49" t="s">
        <v>71</v>
      </c>
      <c r="F160" s="49" t="s">
        <v>75</v>
      </c>
      <c r="G160" s="49" t="s">
        <v>141</v>
      </c>
      <c r="H160" s="49" t="s">
        <v>84</v>
      </c>
      <c r="I160" s="49" t="s">
        <v>83</v>
      </c>
      <c r="J160" s="49" t="s">
        <v>86</v>
      </c>
      <c r="K160" s="49">
        <v>6</v>
      </c>
      <c r="L160" s="49">
        <v>300</v>
      </c>
      <c r="M160" s="49">
        <v>0.08</v>
      </c>
      <c r="N160" s="49">
        <v>1800</v>
      </c>
      <c r="O160" s="49">
        <v>1656</v>
      </c>
      <c r="P160" s="49">
        <v>958.24</v>
      </c>
      <c r="Q160" s="49">
        <v>697.76</v>
      </c>
      <c r="R160" s="49">
        <v>0.4214</v>
      </c>
      <c r="S160" s="49">
        <v>0.5786</v>
      </c>
      <c r="T160" s="49">
        <v>1435</v>
      </c>
      <c r="U160" s="49">
        <v>2.1231</v>
      </c>
      <c r="V160" s="49">
        <v>0</v>
      </c>
      <c r="W160" s="50">
        <v>0</v>
      </c>
      <c r="X160" s="43"/>
      <c r="Y160" s="43"/>
      <c r="Z160" s="43"/>
      <c r="AA160" s="43"/>
      <c r="AB160" s="43"/>
      <c r="AC160" s="43"/>
    </row>
    <row r="161" spans="1:29" x14ac:dyDescent="0.3">
      <c r="A161" s="43"/>
      <c r="B161" s="45" t="s">
        <v>302</v>
      </c>
      <c r="C161" s="48">
        <v>45851</v>
      </c>
      <c r="D161" s="49" t="s">
        <v>137</v>
      </c>
      <c r="E161" s="49" t="s">
        <v>71</v>
      </c>
      <c r="F161" s="49" t="s">
        <v>76</v>
      </c>
      <c r="G161" s="49" t="s">
        <v>183</v>
      </c>
      <c r="H161" s="49" t="s">
        <v>85</v>
      </c>
      <c r="I161" s="49" t="s">
        <v>80</v>
      </c>
      <c r="J161" s="49" t="s">
        <v>86</v>
      </c>
      <c r="K161" s="49">
        <v>8</v>
      </c>
      <c r="L161" s="49">
        <v>500</v>
      </c>
      <c r="M161" s="49">
        <v>0.03</v>
      </c>
      <c r="N161" s="49">
        <v>4000</v>
      </c>
      <c r="O161" s="49">
        <v>3880</v>
      </c>
      <c r="P161" s="49">
        <v>2696.72</v>
      </c>
      <c r="Q161" s="49">
        <v>1183.28</v>
      </c>
      <c r="R161" s="49">
        <v>0.30499999999999999</v>
      </c>
      <c r="S161" s="49">
        <v>0.69499999999999995</v>
      </c>
      <c r="T161" s="49">
        <v>5149</v>
      </c>
      <c r="U161" s="49">
        <v>3.8492000000000002</v>
      </c>
      <c r="V161" s="49">
        <v>1</v>
      </c>
      <c r="W161" s="50">
        <v>0.125</v>
      </c>
      <c r="X161" s="43"/>
      <c r="Y161" s="43"/>
      <c r="Z161" s="43"/>
      <c r="AA161" s="43"/>
      <c r="AB161" s="43"/>
      <c r="AC161" s="43"/>
    </row>
    <row r="162" spans="1:29" x14ac:dyDescent="0.3">
      <c r="A162" s="43"/>
      <c r="B162" s="45" t="s">
        <v>303</v>
      </c>
      <c r="C162" s="48">
        <v>45312</v>
      </c>
      <c r="D162" s="49" t="s">
        <v>137</v>
      </c>
      <c r="E162" s="49" t="s">
        <v>71</v>
      </c>
      <c r="F162" s="49" t="s">
        <v>74</v>
      </c>
      <c r="G162" s="49" t="s">
        <v>153</v>
      </c>
      <c r="H162" s="49" t="s">
        <v>85</v>
      </c>
      <c r="I162" s="49" t="s">
        <v>83</v>
      </c>
      <c r="J162" s="49" t="s">
        <v>81</v>
      </c>
      <c r="K162" s="49">
        <v>2</v>
      </c>
      <c r="L162" s="49">
        <v>100</v>
      </c>
      <c r="M162" s="49">
        <v>0.08</v>
      </c>
      <c r="N162" s="49">
        <v>200</v>
      </c>
      <c r="O162" s="49">
        <v>184</v>
      </c>
      <c r="P162" s="49">
        <v>145.36000000000001</v>
      </c>
      <c r="Q162" s="49">
        <v>38.64</v>
      </c>
      <c r="R162" s="49">
        <v>0.21</v>
      </c>
      <c r="S162" s="49">
        <v>0.79</v>
      </c>
      <c r="T162" s="49">
        <v>355</v>
      </c>
      <c r="U162" s="49">
        <v>0.24529999999999999</v>
      </c>
      <c r="V162" s="49">
        <v>0</v>
      </c>
      <c r="W162" s="50">
        <v>0</v>
      </c>
      <c r="X162" s="43"/>
      <c r="Y162" s="43"/>
      <c r="Z162" s="43"/>
      <c r="AA162" s="43"/>
      <c r="AB162" s="43"/>
      <c r="AC162" s="43"/>
    </row>
    <row r="163" spans="1:29" x14ac:dyDescent="0.3">
      <c r="A163" s="43"/>
      <c r="B163" s="45" t="s">
        <v>304</v>
      </c>
      <c r="C163" s="48">
        <v>45638</v>
      </c>
      <c r="D163" s="49" t="s">
        <v>161</v>
      </c>
      <c r="E163" s="49" t="s">
        <v>68</v>
      </c>
      <c r="F163" s="49" t="s">
        <v>73</v>
      </c>
      <c r="G163" s="49" t="s">
        <v>138</v>
      </c>
      <c r="H163" s="49" t="s">
        <v>84</v>
      </c>
      <c r="I163" s="49" t="s">
        <v>83</v>
      </c>
      <c r="J163" s="49" t="s">
        <v>86</v>
      </c>
      <c r="K163" s="49">
        <v>9</v>
      </c>
      <c r="L163" s="49">
        <v>500</v>
      </c>
      <c r="M163" s="49">
        <v>0.15</v>
      </c>
      <c r="N163" s="49">
        <v>4500</v>
      </c>
      <c r="O163" s="49">
        <v>3825</v>
      </c>
      <c r="P163" s="49">
        <v>2895.73</v>
      </c>
      <c r="Q163" s="49">
        <v>929.27</v>
      </c>
      <c r="R163" s="49">
        <v>0.2429</v>
      </c>
      <c r="S163" s="49">
        <v>0.7571</v>
      </c>
      <c r="T163" s="49">
        <v>2248</v>
      </c>
      <c r="U163" s="49">
        <v>3.9843999999999999</v>
      </c>
      <c r="V163" s="49">
        <v>0</v>
      </c>
      <c r="W163" s="50">
        <v>0</v>
      </c>
      <c r="X163" s="43"/>
      <c r="Y163" s="43"/>
      <c r="Z163" s="43"/>
      <c r="AA163" s="43"/>
      <c r="AB163" s="43"/>
      <c r="AC163" s="43"/>
    </row>
    <row r="164" spans="1:29" x14ac:dyDescent="0.3">
      <c r="A164" s="43"/>
      <c r="B164" s="45" t="s">
        <v>305</v>
      </c>
      <c r="C164" s="48">
        <v>45880</v>
      </c>
      <c r="D164" s="49" t="s">
        <v>143</v>
      </c>
      <c r="E164" s="49" t="s">
        <v>69</v>
      </c>
      <c r="F164" s="49" t="s">
        <v>75</v>
      </c>
      <c r="G164" s="49" t="s">
        <v>138</v>
      </c>
      <c r="H164" s="49" t="s">
        <v>85</v>
      </c>
      <c r="I164" s="49" t="s">
        <v>83</v>
      </c>
      <c r="J164" s="49" t="s">
        <v>81</v>
      </c>
      <c r="K164" s="49">
        <v>6</v>
      </c>
      <c r="L164" s="49">
        <v>80</v>
      </c>
      <c r="M164" s="49">
        <v>0.05</v>
      </c>
      <c r="N164" s="49">
        <v>480</v>
      </c>
      <c r="O164" s="49">
        <v>456</v>
      </c>
      <c r="P164" s="49">
        <v>309.31</v>
      </c>
      <c r="Q164" s="49">
        <v>146.69</v>
      </c>
      <c r="R164" s="49">
        <v>0.32169999999999999</v>
      </c>
      <c r="S164" s="49">
        <v>0.67830000000000001</v>
      </c>
      <c r="T164" s="49">
        <v>362</v>
      </c>
      <c r="U164" s="49">
        <v>0.62639999999999996</v>
      </c>
      <c r="V164" s="49">
        <v>0</v>
      </c>
      <c r="W164" s="50">
        <v>0</v>
      </c>
      <c r="X164" s="43"/>
      <c r="Y164" s="43"/>
      <c r="Z164" s="43"/>
      <c r="AA164" s="43"/>
      <c r="AB164" s="43"/>
      <c r="AC164" s="43"/>
    </row>
    <row r="165" spans="1:29" x14ac:dyDescent="0.3">
      <c r="A165" s="43"/>
      <c r="B165" s="45" t="s">
        <v>306</v>
      </c>
      <c r="C165" s="48">
        <v>45444</v>
      </c>
      <c r="D165" s="49" t="s">
        <v>151</v>
      </c>
      <c r="E165" s="49" t="s">
        <v>70</v>
      </c>
      <c r="F165" s="49" t="s">
        <v>75</v>
      </c>
      <c r="G165" s="49" t="s">
        <v>144</v>
      </c>
      <c r="H165" s="49" t="s">
        <v>84</v>
      </c>
      <c r="I165" s="49" t="s">
        <v>83</v>
      </c>
      <c r="J165" s="49" t="s">
        <v>86</v>
      </c>
      <c r="K165" s="49">
        <v>5</v>
      </c>
      <c r="L165" s="49">
        <v>200</v>
      </c>
      <c r="M165" s="49">
        <v>0</v>
      </c>
      <c r="N165" s="49">
        <v>1000</v>
      </c>
      <c r="O165" s="49">
        <v>1000</v>
      </c>
      <c r="P165" s="49">
        <v>651.96</v>
      </c>
      <c r="Q165" s="49">
        <v>348.04</v>
      </c>
      <c r="R165" s="49">
        <v>0.34799999999999998</v>
      </c>
      <c r="S165" s="49">
        <v>0.65200000000000002</v>
      </c>
      <c r="T165" s="49">
        <v>1211</v>
      </c>
      <c r="U165" s="49">
        <v>1.4662999999999999</v>
      </c>
      <c r="V165" s="49">
        <v>0</v>
      </c>
      <c r="W165" s="50">
        <v>0</v>
      </c>
      <c r="X165" s="43"/>
      <c r="Y165" s="43"/>
      <c r="Z165" s="43"/>
      <c r="AA165" s="43"/>
      <c r="AB165" s="43"/>
      <c r="AC165" s="43"/>
    </row>
    <row r="166" spans="1:29" x14ac:dyDescent="0.3">
      <c r="A166" s="43"/>
      <c r="B166" s="45" t="s">
        <v>307</v>
      </c>
      <c r="C166" s="48">
        <v>45499</v>
      </c>
      <c r="D166" s="49" t="s">
        <v>137</v>
      </c>
      <c r="E166" s="49" t="s">
        <v>71</v>
      </c>
      <c r="F166" s="49" t="s">
        <v>74</v>
      </c>
      <c r="G166" s="49" t="s">
        <v>147</v>
      </c>
      <c r="H166" s="49" t="s">
        <v>82</v>
      </c>
      <c r="I166" s="49" t="s">
        <v>80</v>
      </c>
      <c r="J166" s="49" t="s">
        <v>81</v>
      </c>
      <c r="K166" s="49">
        <v>8</v>
      </c>
      <c r="L166" s="49">
        <v>80</v>
      </c>
      <c r="M166" s="49">
        <v>0.05</v>
      </c>
      <c r="N166" s="49">
        <v>640</v>
      </c>
      <c r="O166" s="49">
        <v>608</v>
      </c>
      <c r="P166" s="49">
        <v>404.63</v>
      </c>
      <c r="Q166" s="49">
        <v>203.37</v>
      </c>
      <c r="R166" s="49">
        <v>0.33450000000000002</v>
      </c>
      <c r="S166" s="49">
        <v>0.66549999999999998</v>
      </c>
      <c r="T166" s="49">
        <v>660</v>
      </c>
      <c r="U166" s="49">
        <v>0.7238</v>
      </c>
      <c r="V166" s="49">
        <v>0</v>
      </c>
      <c r="W166" s="50">
        <v>0</v>
      </c>
      <c r="X166" s="43"/>
      <c r="Y166" s="43"/>
      <c r="Z166" s="43"/>
      <c r="AA166" s="43"/>
      <c r="AB166" s="43"/>
      <c r="AC166" s="43"/>
    </row>
    <row r="167" spans="1:29" x14ac:dyDescent="0.3">
      <c r="A167" s="43"/>
      <c r="B167" s="45" t="s">
        <v>308</v>
      </c>
      <c r="C167" s="48">
        <v>45648</v>
      </c>
      <c r="D167" s="49" t="s">
        <v>143</v>
      </c>
      <c r="E167" s="49" t="s">
        <v>69</v>
      </c>
      <c r="F167" s="49" t="s">
        <v>73</v>
      </c>
      <c r="G167" s="49" t="s">
        <v>153</v>
      </c>
      <c r="H167" s="49" t="s">
        <v>85</v>
      </c>
      <c r="I167" s="49" t="s">
        <v>80</v>
      </c>
      <c r="J167" s="49" t="s">
        <v>81</v>
      </c>
      <c r="K167" s="49">
        <v>7</v>
      </c>
      <c r="L167" s="49">
        <v>80</v>
      </c>
      <c r="M167" s="49">
        <v>0.03</v>
      </c>
      <c r="N167" s="49">
        <v>560</v>
      </c>
      <c r="O167" s="49">
        <v>543.20000000000005</v>
      </c>
      <c r="P167" s="49">
        <v>390.59</v>
      </c>
      <c r="Q167" s="49">
        <v>152.61000000000001</v>
      </c>
      <c r="R167" s="49">
        <v>0.28089999999999998</v>
      </c>
      <c r="S167" s="49">
        <v>0.71909999999999996</v>
      </c>
      <c r="T167" s="49">
        <v>646</v>
      </c>
      <c r="U167" s="49">
        <v>0.56579999999999997</v>
      </c>
      <c r="V167" s="49">
        <v>0</v>
      </c>
      <c r="W167" s="50">
        <v>0</v>
      </c>
      <c r="X167" s="43"/>
      <c r="Y167" s="43"/>
      <c r="Z167" s="43"/>
      <c r="AA167" s="43"/>
      <c r="AB167" s="43"/>
      <c r="AC167" s="43"/>
    </row>
    <row r="168" spans="1:29" x14ac:dyDescent="0.3">
      <c r="A168" s="43"/>
      <c r="B168" s="45" t="s">
        <v>309</v>
      </c>
      <c r="C168" s="48">
        <v>45430</v>
      </c>
      <c r="D168" s="49" t="s">
        <v>151</v>
      </c>
      <c r="E168" s="49" t="s">
        <v>70</v>
      </c>
      <c r="F168" s="49" t="s">
        <v>75</v>
      </c>
      <c r="G168" s="49" t="s">
        <v>141</v>
      </c>
      <c r="H168" s="49" t="s">
        <v>82</v>
      </c>
      <c r="I168" s="49" t="s">
        <v>83</v>
      </c>
      <c r="J168" s="49" t="s">
        <v>86</v>
      </c>
      <c r="K168" s="49">
        <v>6</v>
      </c>
      <c r="L168" s="49">
        <v>200</v>
      </c>
      <c r="M168" s="49">
        <v>0</v>
      </c>
      <c r="N168" s="49">
        <v>1200</v>
      </c>
      <c r="O168" s="49">
        <v>1200</v>
      </c>
      <c r="P168" s="49">
        <v>804.9</v>
      </c>
      <c r="Q168" s="49">
        <v>395.1</v>
      </c>
      <c r="R168" s="49">
        <v>0.32929999999999998</v>
      </c>
      <c r="S168" s="49">
        <v>0.67079999999999995</v>
      </c>
      <c r="T168" s="49">
        <v>1461</v>
      </c>
      <c r="U168" s="49">
        <v>1.7595000000000001</v>
      </c>
      <c r="V168" s="49">
        <v>1</v>
      </c>
      <c r="W168" s="50">
        <v>0.16669999999999999</v>
      </c>
      <c r="X168" s="43"/>
      <c r="Y168" s="43"/>
      <c r="Z168" s="43"/>
      <c r="AA168" s="43"/>
      <c r="AB168" s="43"/>
      <c r="AC168" s="43"/>
    </row>
    <row r="169" spans="1:29" x14ac:dyDescent="0.3">
      <c r="A169" s="43"/>
      <c r="B169" s="45" t="s">
        <v>310</v>
      </c>
      <c r="C169" s="48">
        <v>45595</v>
      </c>
      <c r="D169" s="49" t="s">
        <v>151</v>
      </c>
      <c r="E169" s="49" t="s">
        <v>70</v>
      </c>
      <c r="F169" s="49" t="s">
        <v>72</v>
      </c>
      <c r="G169" s="49" t="s">
        <v>138</v>
      </c>
      <c r="H169" s="49" t="s">
        <v>82</v>
      </c>
      <c r="I169" s="49" t="s">
        <v>83</v>
      </c>
      <c r="J169" s="49" t="s">
        <v>81</v>
      </c>
      <c r="K169" s="49">
        <v>5</v>
      </c>
      <c r="L169" s="49">
        <v>40</v>
      </c>
      <c r="M169" s="49">
        <v>0.08</v>
      </c>
      <c r="N169" s="49">
        <v>200</v>
      </c>
      <c r="O169" s="49">
        <v>184</v>
      </c>
      <c r="P169" s="49">
        <v>140.53</v>
      </c>
      <c r="Q169" s="49">
        <v>43.47</v>
      </c>
      <c r="R169" s="49">
        <v>0.23619999999999999</v>
      </c>
      <c r="S169" s="49">
        <v>0.76380000000000003</v>
      </c>
      <c r="T169" s="49">
        <v>190</v>
      </c>
      <c r="U169" s="49">
        <v>0.25559999999999999</v>
      </c>
      <c r="V169" s="49">
        <v>1</v>
      </c>
      <c r="W169" s="50">
        <v>0.2</v>
      </c>
      <c r="X169" s="43"/>
      <c r="Y169" s="43"/>
      <c r="Z169" s="43"/>
      <c r="AA169" s="43"/>
      <c r="AB169" s="43"/>
      <c r="AC169" s="43"/>
    </row>
    <row r="170" spans="1:29" x14ac:dyDescent="0.3">
      <c r="A170" s="43"/>
      <c r="B170" s="45" t="s">
        <v>311</v>
      </c>
      <c r="C170" s="48">
        <v>46007</v>
      </c>
      <c r="D170" s="49" t="s">
        <v>161</v>
      </c>
      <c r="E170" s="49" t="s">
        <v>68</v>
      </c>
      <c r="F170" s="49" t="s">
        <v>73</v>
      </c>
      <c r="G170" s="49" t="s">
        <v>183</v>
      </c>
      <c r="H170" s="49" t="s">
        <v>82</v>
      </c>
      <c r="I170" s="49" t="s">
        <v>83</v>
      </c>
      <c r="J170" s="49" t="s">
        <v>86</v>
      </c>
      <c r="K170" s="49">
        <v>5</v>
      </c>
      <c r="L170" s="49">
        <v>40</v>
      </c>
      <c r="M170" s="49">
        <v>0.08</v>
      </c>
      <c r="N170" s="49">
        <v>200</v>
      </c>
      <c r="O170" s="49">
        <v>184</v>
      </c>
      <c r="P170" s="49">
        <v>150.88</v>
      </c>
      <c r="Q170" s="49">
        <v>33.119999999999997</v>
      </c>
      <c r="R170" s="49">
        <v>0.18</v>
      </c>
      <c r="S170" s="49">
        <v>0.82</v>
      </c>
      <c r="T170" s="49">
        <v>196</v>
      </c>
      <c r="U170" s="49">
        <v>0.19170000000000001</v>
      </c>
      <c r="V170" s="49">
        <v>0</v>
      </c>
      <c r="W170" s="50">
        <v>0</v>
      </c>
      <c r="X170" s="43"/>
      <c r="Y170" s="43"/>
      <c r="Z170" s="43"/>
      <c r="AA170" s="43"/>
      <c r="AB170" s="43"/>
      <c r="AC170" s="43"/>
    </row>
    <row r="171" spans="1:29" x14ac:dyDescent="0.3">
      <c r="A171" s="43"/>
      <c r="B171" s="45" t="s">
        <v>312</v>
      </c>
      <c r="C171" s="48">
        <v>45415</v>
      </c>
      <c r="D171" s="49" t="s">
        <v>161</v>
      </c>
      <c r="E171" s="49" t="s">
        <v>68</v>
      </c>
      <c r="F171" s="49" t="s">
        <v>72</v>
      </c>
      <c r="G171" s="49" t="s">
        <v>144</v>
      </c>
      <c r="H171" s="49" t="s">
        <v>84</v>
      </c>
      <c r="I171" s="49" t="s">
        <v>80</v>
      </c>
      <c r="J171" s="49" t="s">
        <v>86</v>
      </c>
      <c r="K171" s="49">
        <v>3</v>
      </c>
      <c r="L171" s="49">
        <v>150</v>
      </c>
      <c r="M171" s="49">
        <v>0.08</v>
      </c>
      <c r="N171" s="49">
        <v>450</v>
      </c>
      <c r="O171" s="49">
        <v>414</v>
      </c>
      <c r="P171" s="49">
        <v>193.95</v>
      </c>
      <c r="Q171" s="49">
        <v>220.05</v>
      </c>
      <c r="R171" s="49">
        <v>0.53149999999999997</v>
      </c>
      <c r="S171" s="49">
        <v>0.46850000000000003</v>
      </c>
      <c r="T171" s="49">
        <v>508</v>
      </c>
      <c r="U171" s="49">
        <v>0.65710000000000002</v>
      </c>
      <c r="V171" s="49">
        <v>0</v>
      </c>
      <c r="W171" s="50">
        <v>0</v>
      </c>
      <c r="X171" s="43"/>
      <c r="Y171" s="43"/>
      <c r="Z171" s="43"/>
      <c r="AA171" s="43"/>
      <c r="AB171" s="43"/>
      <c r="AC171" s="43"/>
    </row>
    <row r="172" spans="1:29" x14ac:dyDescent="0.3">
      <c r="A172" s="43"/>
      <c r="B172" s="45" t="s">
        <v>313</v>
      </c>
      <c r="C172" s="48">
        <v>45842</v>
      </c>
      <c r="D172" s="49" t="s">
        <v>161</v>
      </c>
      <c r="E172" s="49" t="s">
        <v>68</v>
      </c>
      <c r="F172" s="49" t="s">
        <v>75</v>
      </c>
      <c r="G172" s="49" t="s">
        <v>147</v>
      </c>
      <c r="H172" s="49" t="s">
        <v>84</v>
      </c>
      <c r="I172" s="49" t="s">
        <v>80</v>
      </c>
      <c r="J172" s="49" t="s">
        <v>81</v>
      </c>
      <c r="K172" s="49">
        <v>6</v>
      </c>
      <c r="L172" s="49">
        <v>100</v>
      </c>
      <c r="M172" s="49">
        <v>0.08</v>
      </c>
      <c r="N172" s="49">
        <v>600</v>
      </c>
      <c r="O172" s="49">
        <v>552</v>
      </c>
      <c r="P172" s="49">
        <v>291.49</v>
      </c>
      <c r="Q172" s="49">
        <v>260.51</v>
      </c>
      <c r="R172" s="49">
        <v>0.47189999999999999</v>
      </c>
      <c r="S172" s="49">
        <v>0.52810000000000001</v>
      </c>
      <c r="T172" s="49">
        <v>591</v>
      </c>
      <c r="U172" s="49">
        <v>0.75819999999999999</v>
      </c>
      <c r="V172" s="49">
        <v>0</v>
      </c>
      <c r="W172" s="50">
        <v>0</v>
      </c>
      <c r="X172" s="43"/>
      <c r="Y172" s="43"/>
      <c r="Z172" s="43"/>
      <c r="AA172" s="43"/>
      <c r="AB172" s="43"/>
      <c r="AC172" s="43"/>
    </row>
    <row r="173" spans="1:29" x14ac:dyDescent="0.3">
      <c r="A173" s="43"/>
      <c r="B173" s="45" t="s">
        <v>314</v>
      </c>
      <c r="C173" s="48">
        <v>45722</v>
      </c>
      <c r="D173" s="49" t="s">
        <v>151</v>
      </c>
      <c r="E173" s="49" t="s">
        <v>70</v>
      </c>
      <c r="F173" s="49" t="s">
        <v>75</v>
      </c>
      <c r="G173" s="49" t="s">
        <v>138</v>
      </c>
      <c r="H173" s="49" t="s">
        <v>84</v>
      </c>
      <c r="I173" s="49" t="s">
        <v>83</v>
      </c>
      <c r="J173" s="49" t="s">
        <v>81</v>
      </c>
      <c r="K173" s="49">
        <v>2</v>
      </c>
      <c r="L173" s="49">
        <v>80</v>
      </c>
      <c r="M173" s="49">
        <v>0.05</v>
      </c>
      <c r="N173" s="49">
        <v>160</v>
      </c>
      <c r="O173" s="49">
        <v>152</v>
      </c>
      <c r="P173" s="49">
        <v>116.98</v>
      </c>
      <c r="Q173" s="49">
        <v>35.020000000000003</v>
      </c>
      <c r="R173" s="49">
        <v>0.23039999999999999</v>
      </c>
      <c r="S173" s="49">
        <v>0.76959999999999995</v>
      </c>
      <c r="T173" s="49">
        <v>133</v>
      </c>
      <c r="U173" s="49">
        <v>0.23380000000000001</v>
      </c>
      <c r="V173" s="49">
        <v>0</v>
      </c>
      <c r="W173" s="50">
        <v>0</v>
      </c>
      <c r="X173" s="43"/>
      <c r="Y173" s="43"/>
      <c r="Z173" s="43"/>
      <c r="AA173" s="43"/>
      <c r="AB173" s="43"/>
      <c r="AC173" s="43"/>
    </row>
    <row r="174" spans="1:29" x14ac:dyDescent="0.3">
      <c r="A174" s="43"/>
      <c r="B174" s="45" t="s">
        <v>315</v>
      </c>
      <c r="C174" s="48">
        <v>45681</v>
      </c>
      <c r="D174" s="49" t="s">
        <v>161</v>
      </c>
      <c r="E174" s="49" t="s">
        <v>68</v>
      </c>
      <c r="F174" s="49" t="s">
        <v>76</v>
      </c>
      <c r="G174" s="49" t="s">
        <v>183</v>
      </c>
      <c r="H174" s="49" t="s">
        <v>82</v>
      </c>
      <c r="I174" s="49" t="s">
        <v>80</v>
      </c>
      <c r="J174" s="49" t="s">
        <v>81</v>
      </c>
      <c r="K174" s="49">
        <v>6</v>
      </c>
      <c r="L174" s="49">
        <v>100</v>
      </c>
      <c r="M174" s="49">
        <v>0.05</v>
      </c>
      <c r="N174" s="49">
        <v>600</v>
      </c>
      <c r="O174" s="49">
        <v>570</v>
      </c>
      <c r="P174" s="49">
        <v>329.01</v>
      </c>
      <c r="Q174" s="49">
        <v>240.99</v>
      </c>
      <c r="R174" s="49">
        <v>0.42280000000000001</v>
      </c>
      <c r="S174" s="49">
        <v>0.57720000000000005</v>
      </c>
      <c r="T174" s="49">
        <v>498</v>
      </c>
      <c r="U174" s="49">
        <v>0.63329999999999997</v>
      </c>
      <c r="V174" s="49">
        <v>1</v>
      </c>
      <c r="W174" s="50">
        <v>0.16669999999999999</v>
      </c>
      <c r="X174" s="43"/>
      <c r="Y174" s="43"/>
      <c r="Z174" s="43"/>
      <c r="AA174" s="43"/>
      <c r="AB174" s="43"/>
      <c r="AC174" s="43"/>
    </row>
    <row r="175" spans="1:29" x14ac:dyDescent="0.3">
      <c r="A175" s="43"/>
      <c r="B175" s="45" t="s">
        <v>316</v>
      </c>
      <c r="C175" s="48">
        <v>45367</v>
      </c>
      <c r="D175" s="49" t="s">
        <v>161</v>
      </c>
      <c r="E175" s="49" t="s">
        <v>68</v>
      </c>
      <c r="F175" s="49" t="s">
        <v>73</v>
      </c>
      <c r="G175" s="49" t="s">
        <v>153</v>
      </c>
      <c r="H175" s="49" t="s">
        <v>85</v>
      </c>
      <c r="I175" s="49" t="s">
        <v>83</v>
      </c>
      <c r="J175" s="49" t="s">
        <v>81</v>
      </c>
      <c r="K175" s="49">
        <v>2</v>
      </c>
      <c r="L175" s="49">
        <v>80</v>
      </c>
      <c r="M175" s="49">
        <v>0.03</v>
      </c>
      <c r="N175" s="49">
        <v>160</v>
      </c>
      <c r="O175" s="49">
        <v>155.19999999999999</v>
      </c>
      <c r="P175" s="49">
        <v>105.35</v>
      </c>
      <c r="Q175" s="49">
        <v>49.85</v>
      </c>
      <c r="R175" s="49">
        <v>0.32119999999999999</v>
      </c>
      <c r="S175" s="49">
        <v>0.67879999999999996</v>
      </c>
      <c r="T175" s="49">
        <v>163</v>
      </c>
      <c r="U175" s="49">
        <v>0.19400000000000001</v>
      </c>
      <c r="V175" s="49">
        <v>1</v>
      </c>
      <c r="W175" s="50">
        <v>0.5</v>
      </c>
      <c r="X175" s="43"/>
      <c r="Y175" s="43"/>
      <c r="Z175" s="43"/>
      <c r="AA175" s="43"/>
      <c r="AB175" s="43"/>
      <c r="AC175" s="43"/>
    </row>
    <row r="176" spans="1:29" x14ac:dyDescent="0.3">
      <c r="A176" s="43"/>
      <c r="B176" s="45" t="s">
        <v>317</v>
      </c>
      <c r="C176" s="48">
        <v>45949</v>
      </c>
      <c r="D176" s="49" t="s">
        <v>143</v>
      </c>
      <c r="E176" s="49" t="s">
        <v>69</v>
      </c>
      <c r="F176" s="49" t="s">
        <v>72</v>
      </c>
      <c r="G176" s="49" t="s">
        <v>141</v>
      </c>
      <c r="H176" s="49" t="s">
        <v>85</v>
      </c>
      <c r="I176" s="49" t="s">
        <v>83</v>
      </c>
      <c r="J176" s="49" t="s">
        <v>81</v>
      </c>
      <c r="K176" s="49">
        <v>6</v>
      </c>
      <c r="L176" s="49">
        <v>25</v>
      </c>
      <c r="M176" s="49">
        <v>0.05</v>
      </c>
      <c r="N176" s="49">
        <v>150</v>
      </c>
      <c r="O176" s="49">
        <v>142.5</v>
      </c>
      <c r="P176" s="49">
        <v>105.72</v>
      </c>
      <c r="Q176" s="49">
        <v>36.78</v>
      </c>
      <c r="R176" s="49">
        <v>0.2581</v>
      </c>
      <c r="S176" s="49">
        <v>0.7419</v>
      </c>
      <c r="T176" s="49">
        <v>174</v>
      </c>
      <c r="U176" s="49">
        <v>0.19789999999999999</v>
      </c>
      <c r="V176" s="49">
        <v>0</v>
      </c>
      <c r="W176" s="50">
        <v>0</v>
      </c>
      <c r="X176" s="43"/>
      <c r="Y176" s="43"/>
      <c r="Z176" s="43"/>
      <c r="AA176" s="43"/>
      <c r="AB176" s="43"/>
      <c r="AC176" s="43"/>
    </row>
    <row r="177" spans="1:29" x14ac:dyDescent="0.3">
      <c r="A177" s="43"/>
      <c r="B177" s="45" t="s">
        <v>318</v>
      </c>
      <c r="C177" s="48">
        <v>45977</v>
      </c>
      <c r="D177" s="49" t="s">
        <v>137</v>
      </c>
      <c r="E177" s="49" t="s">
        <v>71</v>
      </c>
      <c r="F177" s="49" t="s">
        <v>75</v>
      </c>
      <c r="G177" s="49" t="s">
        <v>138</v>
      </c>
      <c r="H177" s="49" t="s">
        <v>82</v>
      </c>
      <c r="I177" s="49" t="s">
        <v>83</v>
      </c>
      <c r="J177" s="49" t="s">
        <v>81</v>
      </c>
      <c r="K177" s="49">
        <v>7</v>
      </c>
      <c r="L177" s="49">
        <v>200</v>
      </c>
      <c r="M177" s="49">
        <v>0.1</v>
      </c>
      <c r="N177" s="49">
        <v>1400</v>
      </c>
      <c r="O177" s="49">
        <v>1260</v>
      </c>
      <c r="P177" s="49">
        <v>826.77</v>
      </c>
      <c r="Q177" s="49">
        <v>433.23</v>
      </c>
      <c r="R177" s="49">
        <v>0.34379999999999999</v>
      </c>
      <c r="S177" s="49">
        <v>0.65620000000000001</v>
      </c>
      <c r="T177" s="49">
        <v>2403</v>
      </c>
      <c r="U177" s="49">
        <v>1.6153999999999999</v>
      </c>
      <c r="V177" s="49">
        <v>0</v>
      </c>
      <c r="W177" s="50">
        <v>0</v>
      </c>
      <c r="X177" s="43"/>
      <c r="Y177" s="43"/>
      <c r="Z177" s="43"/>
      <c r="AA177" s="43"/>
      <c r="AB177" s="43"/>
      <c r="AC177" s="43"/>
    </row>
    <row r="178" spans="1:29" x14ac:dyDescent="0.3">
      <c r="A178" s="43"/>
      <c r="B178" s="45" t="s">
        <v>319</v>
      </c>
      <c r="C178" s="48">
        <v>45822</v>
      </c>
      <c r="D178" s="49" t="s">
        <v>143</v>
      </c>
      <c r="E178" s="49" t="s">
        <v>69</v>
      </c>
      <c r="F178" s="49" t="s">
        <v>76</v>
      </c>
      <c r="G178" s="49" t="s">
        <v>141</v>
      </c>
      <c r="H178" s="49" t="s">
        <v>84</v>
      </c>
      <c r="I178" s="49" t="s">
        <v>83</v>
      </c>
      <c r="J178" s="49" t="s">
        <v>81</v>
      </c>
      <c r="K178" s="49">
        <v>4</v>
      </c>
      <c r="L178" s="49">
        <v>60</v>
      </c>
      <c r="M178" s="49">
        <v>0.03</v>
      </c>
      <c r="N178" s="49">
        <v>240</v>
      </c>
      <c r="O178" s="49">
        <v>232.8</v>
      </c>
      <c r="P178" s="49">
        <v>119.97</v>
      </c>
      <c r="Q178" s="49">
        <v>112.83</v>
      </c>
      <c r="R178" s="49">
        <v>0.48470000000000002</v>
      </c>
      <c r="S178" s="49">
        <v>0.51529999999999998</v>
      </c>
      <c r="T178" s="49">
        <v>285</v>
      </c>
      <c r="U178" s="49">
        <v>0.24629999999999999</v>
      </c>
      <c r="V178" s="49">
        <v>0</v>
      </c>
      <c r="W178" s="50">
        <v>0</v>
      </c>
      <c r="X178" s="43"/>
      <c r="Y178" s="43"/>
      <c r="Z178" s="43"/>
      <c r="AA178" s="43"/>
      <c r="AB178" s="43"/>
      <c r="AC178" s="43"/>
    </row>
    <row r="179" spans="1:29" x14ac:dyDescent="0.3">
      <c r="A179" s="43"/>
      <c r="B179" s="45" t="s">
        <v>320</v>
      </c>
      <c r="C179" s="48">
        <v>45656</v>
      </c>
      <c r="D179" s="49" t="s">
        <v>161</v>
      </c>
      <c r="E179" s="49" t="s">
        <v>68</v>
      </c>
      <c r="F179" s="49" t="s">
        <v>73</v>
      </c>
      <c r="G179" s="49" t="s">
        <v>153</v>
      </c>
      <c r="H179" s="49" t="s">
        <v>85</v>
      </c>
      <c r="I179" s="49" t="s">
        <v>80</v>
      </c>
      <c r="J179" s="49" t="s">
        <v>81</v>
      </c>
      <c r="K179" s="49">
        <v>7</v>
      </c>
      <c r="L179" s="49">
        <v>200</v>
      </c>
      <c r="M179" s="49">
        <v>0.15</v>
      </c>
      <c r="N179" s="49">
        <v>1400</v>
      </c>
      <c r="O179" s="49">
        <v>1190</v>
      </c>
      <c r="P179" s="49">
        <v>759.38</v>
      </c>
      <c r="Q179" s="49">
        <v>430.62</v>
      </c>
      <c r="R179" s="49">
        <v>0.3619</v>
      </c>
      <c r="S179" s="49">
        <v>0.6381</v>
      </c>
      <c r="T179" s="49">
        <v>1248</v>
      </c>
      <c r="U179" s="49">
        <v>1.2396</v>
      </c>
      <c r="V179" s="49">
        <v>0</v>
      </c>
      <c r="W179" s="50">
        <v>0</v>
      </c>
      <c r="X179" s="43"/>
      <c r="Y179" s="43"/>
      <c r="Z179" s="43"/>
      <c r="AA179" s="43"/>
      <c r="AB179" s="43"/>
      <c r="AC179" s="43"/>
    </row>
    <row r="180" spans="1:29" x14ac:dyDescent="0.3">
      <c r="A180" s="43"/>
      <c r="B180" s="45" t="s">
        <v>321</v>
      </c>
      <c r="C180" s="48">
        <v>45477</v>
      </c>
      <c r="D180" s="49" t="s">
        <v>140</v>
      </c>
      <c r="E180" s="49" t="s">
        <v>71</v>
      </c>
      <c r="F180" s="49" t="s">
        <v>73</v>
      </c>
      <c r="G180" s="49" t="s">
        <v>183</v>
      </c>
      <c r="H180" s="49" t="s">
        <v>84</v>
      </c>
      <c r="I180" s="49" t="s">
        <v>80</v>
      </c>
      <c r="J180" s="49" t="s">
        <v>81</v>
      </c>
      <c r="K180" s="49">
        <v>2</v>
      </c>
      <c r="L180" s="49">
        <v>150</v>
      </c>
      <c r="M180" s="49">
        <v>0.1</v>
      </c>
      <c r="N180" s="49">
        <v>300</v>
      </c>
      <c r="O180" s="49">
        <v>270</v>
      </c>
      <c r="P180" s="49">
        <v>166.41</v>
      </c>
      <c r="Q180" s="49">
        <v>103.59</v>
      </c>
      <c r="R180" s="49">
        <v>0.38369999999999999</v>
      </c>
      <c r="S180" s="49">
        <v>0.61629999999999996</v>
      </c>
      <c r="T180" s="49">
        <v>216</v>
      </c>
      <c r="U180" s="49">
        <v>0.30130000000000001</v>
      </c>
      <c r="V180" s="49">
        <v>0</v>
      </c>
      <c r="W180" s="50">
        <v>0</v>
      </c>
      <c r="X180" s="43"/>
      <c r="Y180" s="43"/>
      <c r="Z180" s="43"/>
      <c r="AA180" s="43"/>
      <c r="AB180" s="43"/>
      <c r="AC180" s="43"/>
    </row>
    <row r="181" spans="1:29" x14ac:dyDescent="0.3">
      <c r="A181" s="43"/>
      <c r="B181" s="45" t="s">
        <v>322</v>
      </c>
      <c r="C181" s="48">
        <v>45978</v>
      </c>
      <c r="D181" s="49" t="s">
        <v>149</v>
      </c>
      <c r="E181" s="49" t="s">
        <v>70</v>
      </c>
      <c r="F181" s="49" t="s">
        <v>76</v>
      </c>
      <c r="G181" s="49" t="s">
        <v>147</v>
      </c>
      <c r="H181" s="49" t="s">
        <v>79</v>
      </c>
      <c r="I181" s="49" t="s">
        <v>80</v>
      </c>
      <c r="J181" s="49" t="s">
        <v>81</v>
      </c>
      <c r="K181" s="49">
        <v>7</v>
      </c>
      <c r="L181" s="49">
        <v>500</v>
      </c>
      <c r="M181" s="49">
        <v>0.05</v>
      </c>
      <c r="N181" s="49">
        <v>3500</v>
      </c>
      <c r="O181" s="49">
        <v>3325</v>
      </c>
      <c r="P181" s="49">
        <v>2049.4899999999998</v>
      </c>
      <c r="Q181" s="49">
        <v>1275.51</v>
      </c>
      <c r="R181" s="49">
        <v>0.3836</v>
      </c>
      <c r="S181" s="49">
        <v>0.61639999999999995</v>
      </c>
      <c r="T181" s="49">
        <v>2599</v>
      </c>
      <c r="U181" s="49">
        <v>3.0787</v>
      </c>
      <c r="V181" s="49">
        <v>0</v>
      </c>
      <c r="W181" s="50">
        <v>0</v>
      </c>
      <c r="X181" s="43"/>
      <c r="Y181" s="43"/>
      <c r="Z181" s="43"/>
      <c r="AA181" s="43"/>
      <c r="AB181" s="43"/>
      <c r="AC181" s="43"/>
    </row>
    <row r="182" spans="1:29" x14ac:dyDescent="0.3">
      <c r="A182" s="43"/>
      <c r="B182" s="45" t="s">
        <v>323</v>
      </c>
      <c r="C182" s="48">
        <v>45929</v>
      </c>
      <c r="D182" s="49" t="s">
        <v>140</v>
      </c>
      <c r="E182" s="49" t="s">
        <v>71</v>
      </c>
      <c r="F182" s="49" t="s">
        <v>76</v>
      </c>
      <c r="G182" s="49" t="s">
        <v>153</v>
      </c>
      <c r="H182" s="49" t="s">
        <v>84</v>
      </c>
      <c r="I182" s="49" t="s">
        <v>83</v>
      </c>
      <c r="J182" s="49" t="s">
        <v>81</v>
      </c>
      <c r="K182" s="49">
        <v>4</v>
      </c>
      <c r="L182" s="49">
        <v>80</v>
      </c>
      <c r="M182" s="49">
        <v>0.05</v>
      </c>
      <c r="N182" s="49">
        <v>320</v>
      </c>
      <c r="O182" s="49">
        <v>304</v>
      </c>
      <c r="P182" s="49">
        <v>165.39</v>
      </c>
      <c r="Q182" s="49">
        <v>138.61000000000001</v>
      </c>
      <c r="R182" s="49">
        <v>0.45600000000000002</v>
      </c>
      <c r="S182" s="49">
        <v>0.54400000000000004</v>
      </c>
      <c r="T182" s="49">
        <v>200</v>
      </c>
      <c r="U182" s="49">
        <v>0.30159999999999998</v>
      </c>
      <c r="V182" s="49">
        <v>0</v>
      </c>
      <c r="W182" s="50">
        <v>0</v>
      </c>
      <c r="X182" s="43"/>
      <c r="Y182" s="43"/>
      <c r="Z182" s="43"/>
      <c r="AA182" s="43"/>
      <c r="AB182" s="43"/>
      <c r="AC182" s="43"/>
    </row>
    <row r="183" spans="1:29" x14ac:dyDescent="0.3">
      <c r="A183" s="43"/>
      <c r="B183" s="45" t="s">
        <v>324</v>
      </c>
      <c r="C183" s="48">
        <v>45590</v>
      </c>
      <c r="D183" s="49" t="s">
        <v>137</v>
      </c>
      <c r="E183" s="49" t="s">
        <v>71</v>
      </c>
      <c r="F183" s="49" t="s">
        <v>76</v>
      </c>
      <c r="G183" s="49" t="s">
        <v>183</v>
      </c>
      <c r="H183" s="49" t="s">
        <v>79</v>
      </c>
      <c r="I183" s="49" t="s">
        <v>83</v>
      </c>
      <c r="J183" s="49" t="s">
        <v>81</v>
      </c>
      <c r="K183" s="49">
        <v>6</v>
      </c>
      <c r="L183" s="49">
        <v>200</v>
      </c>
      <c r="M183" s="49">
        <v>0.03</v>
      </c>
      <c r="N183" s="49">
        <v>1200</v>
      </c>
      <c r="O183" s="49">
        <v>1164</v>
      </c>
      <c r="P183" s="49">
        <v>885.25</v>
      </c>
      <c r="Q183" s="49">
        <v>278.75</v>
      </c>
      <c r="R183" s="49">
        <v>0.23949999999999999</v>
      </c>
      <c r="S183" s="49">
        <v>0.76049999999999995</v>
      </c>
      <c r="T183" s="49">
        <v>1252</v>
      </c>
      <c r="U183" s="49">
        <v>1.0778000000000001</v>
      </c>
      <c r="V183" s="49">
        <v>0</v>
      </c>
      <c r="W183" s="50">
        <v>0</v>
      </c>
      <c r="X183" s="43"/>
      <c r="Y183" s="43"/>
      <c r="Z183" s="43"/>
      <c r="AA183" s="43"/>
      <c r="AB183" s="43"/>
      <c r="AC183" s="43"/>
    </row>
    <row r="184" spans="1:29" x14ac:dyDescent="0.3">
      <c r="A184" s="43"/>
      <c r="B184" s="45" t="s">
        <v>325</v>
      </c>
      <c r="C184" s="48">
        <v>45508</v>
      </c>
      <c r="D184" s="49" t="s">
        <v>140</v>
      </c>
      <c r="E184" s="49" t="s">
        <v>71</v>
      </c>
      <c r="F184" s="49" t="s">
        <v>76</v>
      </c>
      <c r="G184" s="49" t="s">
        <v>144</v>
      </c>
      <c r="H184" s="49" t="s">
        <v>84</v>
      </c>
      <c r="I184" s="49" t="s">
        <v>80</v>
      </c>
      <c r="J184" s="49" t="s">
        <v>81</v>
      </c>
      <c r="K184" s="49">
        <v>3</v>
      </c>
      <c r="L184" s="49">
        <v>500</v>
      </c>
      <c r="M184" s="49">
        <v>0</v>
      </c>
      <c r="N184" s="49">
        <v>1500</v>
      </c>
      <c r="O184" s="49">
        <v>1500</v>
      </c>
      <c r="P184" s="49">
        <v>1050.2</v>
      </c>
      <c r="Q184" s="49">
        <v>449.8</v>
      </c>
      <c r="R184" s="49">
        <v>0.2999</v>
      </c>
      <c r="S184" s="49">
        <v>0.70009999999999994</v>
      </c>
      <c r="T184" s="49">
        <v>1202</v>
      </c>
      <c r="U184" s="49">
        <v>1.4881</v>
      </c>
      <c r="V184" s="49">
        <v>0</v>
      </c>
      <c r="W184" s="50">
        <v>0</v>
      </c>
      <c r="X184" s="43"/>
      <c r="Y184" s="43"/>
      <c r="Z184" s="43"/>
      <c r="AA184" s="43"/>
      <c r="AB184" s="43"/>
      <c r="AC184" s="43"/>
    </row>
    <row r="185" spans="1:29" x14ac:dyDescent="0.3">
      <c r="A185" s="43"/>
      <c r="B185" s="45" t="s">
        <v>326</v>
      </c>
      <c r="C185" s="48">
        <v>45709</v>
      </c>
      <c r="D185" s="49" t="s">
        <v>143</v>
      </c>
      <c r="E185" s="49" t="s">
        <v>69</v>
      </c>
      <c r="F185" s="49" t="s">
        <v>72</v>
      </c>
      <c r="G185" s="49" t="s">
        <v>144</v>
      </c>
      <c r="H185" s="49" t="s">
        <v>84</v>
      </c>
      <c r="I185" s="49" t="s">
        <v>83</v>
      </c>
      <c r="J185" s="49" t="s">
        <v>81</v>
      </c>
      <c r="K185" s="49">
        <v>5</v>
      </c>
      <c r="L185" s="49">
        <v>750</v>
      </c>
      <c r="M185" s="49">
        <v>0.05</v>
      </c>
      <c r="N185" s="49">
        <v>3750</v>
      </c>
      <c r="O185" s="49">
        <v>3562.5</v>
      </c>
      <c r="P185" s="49">
        <v>1800.25</v>
      </c>
      <c r="Q185" s="49">
        <v>1762.25</v>
      </c>
      <c r="R185" s="49">
        <v>0.49469999999999997</v>
      </c>
      <c r="S185" s="49">
        <v>0.50529999999999997</v>
      </c>
      <c r="T185" s="49">
        <v>3808</v>
      </c>
      <c r="U185" s="49">
        <v>5.9375</v>
      </c>
      <c r="V185" s="49">
        <v>0</v>
      </c>
      <c r="W185" s="50">
        <v>0</v>
      </c>
      <c r="X185" s="43"/>
      <c r="Y185" s="43"/>
      <c r="Z185" s="43"/>
      <c r="AA185" s="43"/>
      <c r="AB185" s="43"/>
      <c r="AC185" s="43"/>
    </row>
    <row r="186" spans="1:29" x14ac:dyDescent="0.3">
      <c r="A186" s="43"/>
      <c r="B186" s="45" t="s">
        <v>327</v>
      </c>
      <c r="C186" s="48">
        <v>45857</v>
      </c>
      <c r="D186" s="49" t="s">
        <v>143</v>
      </c>
      <c r="E186" s="49" t="s">
        <v>69</v>
      </c>
      <c r="F186" s="49" t="s">
        <v>75</v>
      </c>
      <c r="G186" s="49" t="s">
        <v>144</v>
      </c>
      <c r="H186" s="49" t="s">
        <v>79</v>
      </c>
      <c r="I186" s="49" t="s">
        <v>83</v>
      </c>
      <c r="J186" s="49" t="s">
        <v>81</v>
      </c>
      <c r="K186" s="49">
        <v>6</v>
      </c>
      <c r="L186" s="49">
        <v>150</v>
      </c>
      <c r="M186" s="49">
        <v>0.03</v>
      </c>
      <c r="N186" s="49">
        <v>900</v>
      </c>
      <c r="O186" s="49">
        <v>873</v>
      </c>
      <c r="P186" s="49">
        <v>555.30999999999995</v>
      </c>
      <c r="Q186" s="49">
        <v>317.69</v>
      </c>
      <c r="R186" s="49">
        <v>0.3639</v>
      </c>
      <c r="S186" s="49">
        <v>0.6361</v>
      </c>
      <c r="T186" s="49">
        <v>1688</v>
      </c>
      <c r="U186" s="49">
        <v>1.1992</v>
      </c>
      <c r="V186" s="49">
        <v>0</v>
      </c>
      <c r="W186" s="50">
        <v>0</v>
      </c>
      <c r="X186" s="43"/>
      <c r="Y186" s="43"/>
      <c r="Z186" s="43"/>
      <c r="AA186" s="43"/>
      <c r="AB186" s="43"/>
      <c r="AC186" s="43"/>
    </row>
    <row r="187" spans="1:29" x14ac:dyDescent="0.3">
      <c r="A187" s="43"/>
      <c r="B187" s="45" t="s">
        <v>328</v>
      </c>
      <c r="C187" s="48">
        <v>45943</v>
      </c>
      <c r="D187" s="49" t="s">
        <v>137</v>
      </c>
      <c r="E187" s="49" t="s">
        <v>71</v>
      </c>
      <c r="F187" s="49" t="s">
        <v>76</v>
      </c>
      <c r="G187" s="49" t="s">
        <v>183</v>
      </c>
      <c r="H187" s="49" t="s">
        <v>79</v>
      </c>
      <c r="I187" s="49" t="s">
        <v>83</v>
      </c>
      <c r="J187" s="49" t="s">
        <v>81</v>
      </c>
      <c r="K187" s="49">
        <v>6</v>
      </c>
      <c r="L187" s="49">
        <v>100</v>
      </c>
      <c r="M187" s="49">
        <v>0.05</v>
      </c>
      <c r="N187" s="49">
        <v>600</v>
      </c>
      <c r="O187" s="49">
        <v>570</v>
      </c>
      <c r="P187" s="49">
        <v>377.35</v>
      </c>
      <c r="Q187" s="49">
        <v>192.65</v>
      </c>
      <c r="R187" s="49">
        <v>0.33800000000000002</v>
      </c>
      <c r="S187" s="49">
        <v>0.66200000000000003</v>
      </c>
      <c r="T187" s="49">
        <v>608</v>
      </c>
      <c r="U187" s="49">
        <v>0.52780000000000005</v>
      </c>
      <c r="V187" s="49">
        <v>0</v>
      </c>
      <c r="W187" s="50">
        <v>0</v>
      </c>
      <c r="X187" s="43"/>
      <c r="Y187" s="43"/>
      <c r="Z187" s="43"/>
      <c r="AA187" s="43"/>
      <c r="AB187" s="43"/>
      <c r="AC187" s="43"/>
    </row>
    <row r="188" spans="1:29" x14ac:dyDescent="0.3">
      <c r="A188" s="43"/>
      <c r="B188" s="45" t="s">
        <v>329</v>
      </c>
      <c r="C188" s="48">
        <v>45690</v>
      </c>
      <c r="D188" s="49" t="s">
        <v>161</v>
      </c>
      <c r="E188" s="49" t="s">
        <v>68</v>
      </c>
      <c r="F188" s="49" t="s">
        <v>75</v>
      </c>
      <c r="G188" s="49" t="s">
        <v>138</v>
      </c>
      <c r="H188" s="49" t="s">
        <v>85</v>
      </c>
      <c r="I188" s="49" t="s">
        <v>80</v>
      </c>
      <c r="J188" s="49" t="s">
        <v>86</v>
      </c>
      <c r="K188" s="49">
        <v>4</v>
      </c>
      <c r="L188" s="49">
        <v>200</v>
      </c>
      <c r="M188" s="49">
        <v>0</v>
      </c>
      <c r="N188" s="49">
        <v>800</v>
      </c>
      <c r="O188" s="49">
        <v>800</v>
      </c>
      <c r="P188" s="49">
        <v>466.58</v>
      </c>
      <c r="Q188" s="49">
        <v>333.42</v>
      </c>
      <c r="R188" s="49">
        <v>0.4168</v>
      </c>
      <c r="S188" s="49">
        <v>0.58320000000000005</v>
      </c>
      <c r="T188" s="49">
        <v>1345</v>
      </c>
      <c r="U188" s="49">
        <v>1.2307999999999999</v>
      </c>
      <c r="V188" s="49">
        <v>0</v>
      </c>
      <c r="W188" s="50">
        <v>0</v>
      </c>
      <c r="X188" s="43"/>
      <c r="Y188" s="43"/>
      <c r="Z188" s="43"/>
      <c r="AA188" s="43"/>
      <c r="AB188" s="43"/>
      <c r="AC188" s="43"/>
    </row>
    <row r="189" spans="1:29" x14ac:dyDescent="0.3">
      <c r="A189" s="43"/>
      <c r="B189" s="45" t="s">
        <v>330</v>
      </c>
      <c r="C189" s="48">
        <v>45805</v>
      </c>
      <c r="D189" s="49" t="s">
        <v>137</v>
      </c>
      <c r="E189" s="49" t="s">
        <v>71</v>
      </c>
      <c r="F189" s="49" t="s">
        <v>73</v>
      </c>
      <c r="G189" s="49" t="s">
        <v>138</v>
      </c>
      <c r="H189" s="49" t="s">
        <v>84</v>
      </c>
      <c r="I189" s="49" t="s">
        <v>83</v>
      </c>
      <c r="J189" s="49" t="s">
        <v>81</v>
      </c>
      <c r="K189" s="49">
        <v>7</v>
      </c>
      <c r="L189" s="49">
        <v>100</v>
      </c>
      <c r="M189" s="49">
        <v>0.03</v>
      </c>
      <c r="N189" s="49">
        <v>700</v>
      </c>
      <c r="O189" s="49">
        <v>679</v>
      </c>
      <c r="P189" s="49">
        <v>507.01</v>
      </c>
      <c r="Q189" s="49">
        <v>171.99</v>
      </c>
      <c r="R189" s="49">
        <v>0.25330000000000003</v>
      </c>
      <c r="S189" s="49">
        <v>0.74670000000000003</v>
      </c>
      <c r="T189" s="49">
        <v>402</v>
      </c>
      <c r="U189" s="49">
        <v>0.80830000000000002</v>
      </c>
      <c r="V189" s="49">
        <v>1</v>
      </c>
      <c r="W189" s="50">
        <v>0.1429</v>
      </c>
      <c r="X189" s="43"/>
      <c r="Y189" s="43"/>
      <c r="Z189" s="43"/>
      <c r="AA189" s="43"/>
      <c r="AB189" s="43"/>
      <c r="AC189" s="43"/>
    </row>
    <row r="190" spans="1:29" x14ac:dyDescent="0.3">
      <c r="A190" s="43"/>
      <c r="B190" s="45" t="s">
        <v>331</v>
      </c>
      <c r="C190" s="48">
        <v>45329</v>
      </c>
      <c r="D190" s="49" t="s">
        <v>151</v>
      </c>
      <c r="E190" s="49" t="s">
        <v>70</v>
      </c>
      <c r="F190" s="49" t="s">
        <v>76</v>
      </c>
      <c r="G190" s="49" t="s">
        <v>141</v>
      </c>
      <c r="H190" s="49" t="s">
        <v>82</v>
      </c>
      <c r="I190" s="49" t="s">
        <v>80</v>
      </c>
      <c r="J190" s="49" t="s">
        <v>81</v>
      </c>
      <c r="K190" s="49">
        <v>2</v>
      </c>
      <c r="L190" s="49">
        <v>200</v>
      </c>
      <c r="M190" s="49">
        <v>0.08</v>
      </c>
      <c r="N190" s="49">
        <v>400</v>
      </c>
      <c r="O190" s="49">
        <v>368</v>
      </c>
      <c r="P190" s="49">
        <v>243.7</v>
      </c>
      <c r="Q190" s="49">
        <v>124.3</v>
      </c>
      <c r="R190" s="49">
        <v>0.33779999999999999</v>
      </c>
      <c r="S190" s="49">
        <v>0.66220000000000001</v>
      </c>
      <c r="T190" s="49">
        <v>448</v>
      </c>
      <c r="U190" s="49">
        <v>0.40889999999999999</v>
      </c>
      <c r="V190" s="49">
        <v>0</v>
      </c>
      <c r="W190" s="50">
        <v>0</v>
      </c>
      <c r="X190" s="43"/>
      <c r="Y190" s="43"/>
      <c r="Z190" s="43"/>
      <c r="AA190" s="43"/>
      <c r="AB190" s="43"/>
      <c r="AC190" s="43"/>
    </row>
    <row r="191" spans="1:29" x14ac:dyDescent="0.3">
      <c r="A191" s="43"/>
      <c r="B191" s="45" t="s">
        <v>332</v>
      </c>
      <c r="C191" s="48">
        <v>45448</v>
      </c>
      <c r="D191" s="49" t="s">
        <v>149</v>
      </c>
      <c r="E191" s="49" t="s">
        <v>70</v>
      </c>
      <c r="F191" s="49" t="s">
        <v>76</v>
      </c>
      <c r="G191" s="49" t="s">
        <v>141</v>
      </c>
      <c r="H191" s="49" t="s">
        <v>85</v>
      </c>
      <c r="I191" s="49" t="s">
        <v>83</v>
      </c>
      <c r="J191" s="49" t="s">
        <v>81</v>
      </c>
      <c r="K191" s="49">
        <v>4</v>
      </c>
      <c r="L191" s="49">
        <v>100</v>
      </c>
      <c r="M191" s="49">
        <v>0.05</v>
      </c>
      <c r="N191" s="49">
        <v>400</v>
      </c>
      <c r="O191" s="49">
        <v>380</v>
      </c>
      <c r="P191" s="49">
        <v>241.85</v>
      </c>
      <c r="Q191" s="49">
        <v>138.15</v>
      </c>
      <c r="R191" s="49">
        <v>0.36359999999999998</v>
      </c>
      <c r="S191" s="49">
        <v>0.63639999999999997</v>
      </c>
      <c r="T191" s="49">
        <v>447</v>
      </c>
      <c r="U191" s="49">
        <v>0.40210000000000001</v>
      </c>
      <c r="V191" s="49">
        <v>0</v>
      </c>
      <c r="W191" s="50">
        <v>0</v>
      </c>
      <c r="X191" s="43"/>
      <c r="Y191" s="43"/>
      <c r="Z191" s="43"/>
      <c r="AA191" s="43"/>
      <c r="AB191" s="43"/>
      <c r="AC191" s="43"/>
    </row>
    <row r="192" spans="1:29" x14ac:dyDescent="0.3">
      <c r="A192" s="43"/>
      <c r="B192" s="45" t="s">
        <v>333</v>
      </c>
      <c r="C192" s="48">
        <v>45707</v>
      </c>
      <c r="D192" s="49" t="s">
        <v>149</v>
      </c>
      <c r="E192" s="49" t="s">
        <v>70</v>
      </c>
      <c r="F192" s="49" t="s">
        <v>74</v>
      </c>
      <c r="G192" s="49" t="s">
        <v>141</v>
      </c>
      <c r="H192" s="49" t="s">
        <v>85</v>
      </c>
      <c r="I192" s="49" t="s">
        <v>80</v>
      </c>
      <c r="J192" s="49" t="s">
        <v>86</v>
      </c>
      <c r="K192" s="49">
        <v>3</v>
      </c>
      <c r="L192" s="49">
        <v>300</v>
      </c>
      <c r="M192" s="49">
        <v>0</v>
      </c>
      <c r="N192" s="49">
        <v>900</v>
      </c>
      <c r="O192" s="49">
        <v>900</v>
      </c>
      <c r="P192" s="49">
        <v>595.76</v>
      </c>
      <c r="Q192" s="49">
        <v>304.24</v>
      </c>
      <c r="R192" s="49">
        <v>0.33800000000000002</v>
      </c>
      <c r="S192" s="49">
        <v>0.66200000000000003</v>
      </c>
      <c r="T192" s="49">
        <v>419</v>
      </c>
      <c r="U192" s="49">
        <v>1.2</v>
      </c>
      <c r="V192" s="49">
        <v>0</v>
      </c>
      <c r="W192" s="50">
        <v>0</v>
      </c>
      <c r="X192" s="43"/>
      <c r="Y192" s="43"/>
      <c r="Z192" s="43"/>
      <c r="AA192" s="43"/>
      <c r="AB192" s="43"/>
      <c r="AC192" s="43"/>
    </row>
    <row r="193" spans="1:29" x14ac:dyDescent="0.3">
      <c r="A193" s="43"/>
      <c r="B193" s="45" t="s">
        <v>334</v>
      </c>
      <c r="C193" s="48">
        <v>45469</v>
      </c>
      <c r="D193" s="49" t="s">
        <v>151</v>
      </c>
      <c r="E193" s="49" t="s">
        <v>70</v>
      </c>
      <c r="F193" s="49" t="s">
        <v>74</v>
      </c>
      <c r="G193" s="49" t="s">
        <v>183</v>
      </c>
      <c r="H193" s="49" t="s">
        <v>85</v>
      </c>
      <c r="I193" s="49" t="s">
        <v>80</v>
      </c>
      <c r="J193" s="49" t="s">
        <v>86</v>
      </c>
      <c r="K193" s="49">
        <v>4</v>
      </c>
      <c r="L193" s="49">
        <v>25</v>
      </c>
      <c r="M193" s="49">
        <v>0.03</v>
      </c>
      <c r="N193" s="49">
        <v>100</v>
      </c>
      <c r="O193" s="49">
        <v>97</v>
      </c>
      <c r="P193" s="49">
        <v>67.27</v>
      </c>
      <c r="Q193" s="49">
        <v>29.73</v>
      </c>
      <c r="R193" s="49">
        <v>0.30649999999999999</v>
      </c>
      <c r="S193" s="49">
        <v>0.69350000000000001</v>
      </c>
      <c r="T193" s="49">
        <v>161</v>
      </c>
      <c r="U193" s="49">
        <v>0.1231</v>
      </c>
      <c r="V193" s="49">
        <v>0</v>
      </c>
      <c r="W193" s="50">
        <v>0</v>
      </c>
      <c r="X193" s="43"/>
      <c r="Y193" s="43"/>
      <c r="Z193" s="43"/>
      <c r="AA193" s="43"/>
      <c r="AB193" s="43"/>
      <c r="AC193" s="43"/>
    </row>
    <row r="194" spans="1:29" x14ac:dyDescent="0.3">
      <c r="A194" s="43"/>
      <c r="B194" s="45" t="s">
        <v>335</v>
      </c>
      <c r="C194" s="48">
        <v>45994</v>
      </c>
      <c r="D194" s="49" t="s">
        <v>140</v>
      </c>
      <c r="E194" s="49" t="s">
        <v>71</v>
      </c>
      <c r="F194" s="49" t="s">
        <v>73</v>
      </c>
      <c r="G194" s="49" t="s">
        <v>147</v>
      </c>
      <c r="H194" s="49" t="s">
        <v>84</v>
      </c>
      <c r="I194" s="49" t="s">
        <v>83</v>
      </c>
      <c r="J194" s="49" t="s">
        <v>86</v>
      </c>
      <c r="K194" s="49">
        <v>7</v>
      </c>
      <c r="L194" s="49">
        <v>150</v>
      </c>
      <c r="M194" s="49">
        <v>0.05</v>
      </c>
      <c r="N194" s="49">
        <v>1050</v>
      </c>
      <c r="O194" s="49">
        <v>997.5</v>
      </c>
      <c r="P194" s="49">
        <v>746.59</v>
      </c>
      <c r="Q194" s="49">
        <v>250.91</v>
      </c>
      <c r="R194" s="49">
        <v>0.2515</v>
      </c>
      <c r="S194" s="49">
        <v>0.74850000000000005</v>
      </c>
      <c r="T194" s="49">
        <v>1065</v>
      </c>
      <c r="U194" s="49">
        <v>1.0390999999999999</v>
      </c>
      <c r="V194" s="49">
        <v>0</v>
      </c>
      <c r="W194" s="50">
        <v>0</v>
      </c>
      <c r="X194" s="43"/>
      <c r="Y194" s="43"/>
      <c r="Z194" s="43"/>
      <c r="AA194" s="43"/>
      <c r="AB194" s="43"/>
      <c r="AC194" s="43"/>
    </row>
    <row r="195" spans="1:29" x14ac:dyDescent="0.3">
      <c r="A195" s="43"/>
      <c r="B195" s="45" t="s">
        <v>336</v>
      </c>
      <c r="C195" s="48">
        <v>45781</v>
      </c>
      <c r="D195" s="49" t="s">
        <v>140</v>
      </c>
      <c r="E195" s="49" t="s">
        <v>71</v>
      </c>
      <c r="F195" s="49" t="s">
        <v>73</v>
      </c>
      <c r="G195" s="49" t="s">
        <v>183</v>
      </c>
      <c r="H195" s="49" t="s">
        <v>79</v>
      </c>
      <c r="I195" s="49" t="s">
        <v>83</v>
      </c>
      <c r="J195" s="49" t="s">
        <v>81</v>
      </c>
      <c r="K195" s="49">
        <v>1</v>
      </c>
      <c r="L195" s="49">
        <v>200</v>
      </c>
      <c r="M195" s="49">
        <v>0.05</v>
      </c>
      <c r="N195" s="49">
        <v>200</v>
      </c>
      <c r="O195" s="49">
        <v>190</v>
      </c>
      <c r="P195" s="49">
        <v>155.80000000000001</v>
      </c>
      <c r="Q195" s="49">
        <v>34.200000000000003</v>
      </c>
      <c r="R195" s="49">
        <v>0.18</v>
      </c>
      <c r="S195" s="49">
        <v>0.82</v>
      </c>
      <c r="T195" s="49">
        <v>234</v>
      </c>
      <c r="U195" s="49">
        <v>0.22620000000000001</v>
      </c>
      <c r="V195" s="49">
        <v>1</v>
      </c>
      <c r="W195" s="50">
        <v>1</v>
      </c>
      <c r="X195" s="43"/>
      <c r="Y195" s="43"/>
      <c r="Z195" s="43"/>
      <c r="AA195" s="43"/>
      <c r="AB195" s="43"/>
      <c r="AC195" s="43"/>
    </row>
    <row r="196" spans="1:29" x14ac:dyDescent="0.3">
      <c r="A196" s="43"/>
      <c r="B196" s="45" t="s">
        <v>337</v>
      </c>
      <c r="C196" s="48">
        <v>45649</v>
      </c>
      <c r="D196" s="49" t="s">
        <v>143</v>
      </c>
      <c r="E196" s="49" t="s">
        <v>69</v>
      </c>
      <c r="F196" s="49" t="s">
        <v>72</v>
      </c>
      <c r="G196" s="49" t="s">
        <v>183</v>
      </c>
      <c r="H196" s="49" t="s">
        <v>84</v>
      </c>
      <c r="I196" s="49" t="s">
        <v>80</v>
      </c>
      <c r="J196" s="49" t="s">
        <v>81</v>
      </c>
      <c r="K196" s="49">
        <v>7</v>
      </c>
      <c r="L196" s="49">
        <v>60</v>
      </c>
      <c r="M196" s="49">
        <v>0.1</v>
      </c>
      <c r="N196" s="49">
        <v>420</v>
      </c>
      <c r="O196" s="49">
        <v>378</v>
      </c>
      <c r="P196" s="49">
        <v>244.13</v>
      </c>
      <c r="Q196" s="49">
        <v>133.87</v>
      </c>
      <c r="R196" s="49">
        <v>0.35420000000000001</v>
      </c>
      <c r="S196" s="49">
        <v>0.64580000000000004</v>
      </c>
      <c r="T196" s="49">
        <v>403</v>
      </c>
      <c r="U196" s="49">
        <v>0.52500000000000002</v>
      </c>
      <c r="V196" s="49">
        <v>0</v>
      </c>
      <c r="W196" s="50">
        <v>0</v>
      </c>
      <c r="X196" s="43"/>
      <c r="Y196" s="43"/>
      <c r="Z196" s="43"/>
      <c r="AA196" s="43"/>
      <c r="AB196" s="43"/>
      <c r="AC196" s="43"/>
    </row>
    <row r="197" spans="1:29" x14ac:dyDescent="0.3">
      <c r="A197" s="43"/>
      <c r="B197" s="45" t="s">
        <v>338</v>
      </c>
      <c r="C197" s="48">
        <v>45311</v>
      </c>
      <c r="D197" s="49" t="s">
        <v>149</v>
      </c>
      <c r="E197" s="49" t="s">
        <v>70</v>
      </c>
      <c r="F197" s="49" t="s">
        <v>73</v>
      </c>
      <c r="G197" s="49" t="s">
        <v>138</v>
      </c>
      <c r="H197" s="49" t="s">
        <v>84</v>
      </c>
      <c r="I197" s="49" t="s">
        <v>80</v>
      </c>
      <c r="J197" s="49" t="s">
        <v>86</v>
      </c>
      <c r="K197" s="49">
        <v>4</v>
      </c>
      <c r="L197" s="49">
        <v>500</v>
      </c>
      <c r="M197" s="49">
        <v>0.03</v>
      </c>
      <c r="N197" s="49">
        <v>2000</v>
      </c>
      <c r="O197" s="49">
        <v>1940</v>
      </c>
      <c r="P197" s="49">
        <v>1461.2</v>
      </c>
      <c r="Q197" s="49">
        <v>478.8</v>
      </c>
      <c r="R197" s="49">
        <v>0.24679999999999999</v>
      </c>
      <c r="S197" s="49">
        <v>0.75319999999999998</v>
      </c>
      <c r="T197" s="49">
        <v>2363</v>
      </c>
      <c r="U197" s="49">
        <v>2.4249999999999998</v>
      </c>
      <c r="V197" s="49">
        <v>0</v>
      </c>
      <c r="W197" s="50">
        <v>0</v>
      </c>
      <c r="X197" s="43"/>
      <c r="Y197" s="43"/>
      <c r="Z197" s="43"/>
      <c r="AA197" s="43"/>
      <c r="AB197" s="43"/>
      <c r="AC197" s="43"/>
    </row>
    <row r="198" spans="1:29" x14ac:dyDescent="0.3">
      <c r="A198" s="43"/>
      <c r="B198" s="45" t="s">
        <v>339</v>
      </c>
      <c r="C198" s="48">
        <v>45895</v>
      </c>
      <c r="D198" s="49" t="s">
        <v>140</v>
      </c>
      <c r="E198" s="49" t="s">
        <v>71</v>
      </c>
      <c r="F198" s="49" t="s">
        <v>72</v>
      </c>
      <c r="G198" s="49" t="s">
        <v>183</v>
      </c>
      <c r="H198" s="49" t="s">
        <v>84</v>
      </c>
      <c r="I198" s="49" t="s">
        <v>83</v>
      </c>
      <c r="J198" s="49" t="s">
        <v>86</v>
      </c>
      <c r="K198" s="49">
        <v>6</v>
      </c>
      <c r="L198" s="49">
        <v>60</v>
      </c>
      <c r="M198" s="49">
        <v>0.08</v>
      </c>
      <c r="N198" s="49">
        <v>360</v>
      </c>
      <c r="O198" s="49">
        <v>331.2</v>
      </c>
      <c r="P198" s="49">
        <v>264.14</v>
      </c>
      <c r="Q198" s="49">
        <v>67.06</v>
      </c>
      <c r="R198" s="49">
        <v>0.20250000000000001</v>
      </c>
      <c r="S198" s="49">
        <v>0.79749999999999999</v>
      </c>
      <c r="T198" s="49">
        <v>152</v>
      </c>
      <c r="U198" s="49">
        <v>0.4929</v>
      </c>
      <c r="V198" s="49">
        <v>0</v>
      </c>
      <c r="W198" s="50">
        <v>0</v>
      </c>
      <c r="X198" s="43"/>
      <c r="Y198" s="43"/>
      <c r="Z198" s="43"/>
      <c r="AA198" s="43"/>
      <c r="AB198" s="43"/>
      <c r="AC198" s="43"/>
    </row>
    <row r="199" spans="1:29" x14ac:dyDescent="0.3">
      <c r="A199" s="43"/>
      <c r="B199" s="45" t="s">
        <v>340</v>
      </c>
      <c r="C199" s="48">
        <v>45956</v>
      </c>
      <c r="D199" s="49" t="s">
        <v>149</v>
      </c>
      <c r="E199" s="49" t="s">
        <v>70</v>
      </c>
      <c r="F199" s="49" t="s">
        <v>73</v>
      </c>
      <c r="G199" s="49" t="s">
        <v>138</v>
      </c>
      <c r="H199" s="49" t="s">
        <v>85</v>
      </c>
      <c r="I199" s="49" t="s">
        <v>83</v>
      </c>
      <c r="J199" s="49" t="s">
        <v>81</v>
      </c>
      <c r="K199" s="49">
        <v>5</v>
      </c>
      <c r="L199" s="49">
        <v>100</v>
      </c>
      <c r="M199" s="49">
        <v>0</v>
      </c>
      <c r="N199" s="49">
        <v>500</v>
      </c>
      <c r="O199" s="49">
        <v>500</v>
      </c>
      <c r="P199" s="49">
        <v>364.3</v>
      </c>
      <c r="Q199" s="49">
        <v>135.69999999999999</v>
      </c>
      <c r="R199" s="49">
        <v>0.27139999999999997</v>
      </c>
      <c r="S199" s="49">
        <v>0.72860000000000003</v>
      </c>
      <c r="T199" s="49">
        <v>390</v>
      </c>
      <c r="U199" s="49">
        <v>0.52080000000000004</v>
      </c>
      <c r="V199" s="49">
        <v>0</v>
      </c>
      <c r="W199" s="50">
        <v>0</v>
      </c>
      <c r="X199" s="43"/>
      <c r="Y199" s="43"/>
      <c r="Z199" s="43"/>
      <c r="AA199" s="43"/>
      <c r="AB199" s="43"/>
      <c r="AC199" s="43"/>
    </row>
    <row r="200" spans="1:29" x14ac:dyDescent="0.3">
      <c r="A200" s="43"/>
      <c r="B200" s="45" t="s">
        <v>341</v>
      </c>
      <c r="C200" s="48">
        <v>45915</v>
      </c>
      <c r="D200" s="49" t="s">
        <v>143</v>
      </c>
      <c r="E200" s="49" t="s">
        <v>69</v>
      </c>
      <c r="F200" s="49" t="s">
        <v>74</v>
      </c>
      <c r="G200" s="49" t="s">
        <v>144</v>
      </c>
      <c r="H200" s="49" t="s">
        <v>79</v>
      </c>
      <c r="I200" s="49" t="s">
        <v>80</v>
      </c>
      <c r="J200" s="49" t="s">
        <v>81</v>
      </c>
      <c r="K200" s="49">
        <v>6</v>
      </c>
      <c r="L200" s="49">
        <v>60</v>
      </c>
      <c r="M200" s="49">
        <v>0.05</v>
      </c>
      <c r="N200" s="49">
        <v>360</v>
      </c>
      <c r="O200" s="49">
        <v>342</v>
      </c>
      <c r="P200" s="49">
        <v>173.66</v>
      </c>
      <c r="Q200" s="49">
        <v>168.34</v>
      </c>
      <c r="R200" s="49">
        <v>0.49220000000000003</v>
      </c>
      <c r="S200" s="49">
        <v>0.50780000000000003</v>
      </c>
      <c r="T200" s="49">
        <v>415</v>
      </c>
      <c r="U200" s="49">
        <v>0.40710000000000002</v>
      </c>
      <c r="V200" s="49">
        <v>0</v>
      </c>
      <c r="W200" s="50">
        <v>0</v>
      </c>
      <c r="X200" s="43"/>
      <c r="Y200" s="43"/>
      <c r="Z200" s="43"/>
      <c r="AA200" s="43"/>
      <c r="AB200" s="43"/>
      <c r="AC200" s="43"/>
    </row>
    <row r="201" spans="1:29" x14ac:dyDescent="0.3">
      <c r="A201" s="43"/>
      <c r="B201" s="45" t="s">
        <v>342</v>
      </c>
      <c r="C201" s="48">
        <v>46020</v>
      </c>
      <c r="D201" s="49" t="s">
        <v>161</v>
      </c>
      <c r="E201" s="49" t="s">
        <v>68</v>
      </c>
      <c r="F201" s="49" t="s">
        <v>72</v>
      </c>
      <c r="G201" s="49" t="s">
        <v>141</v>
      </c>
      <c r="H201" s="49" t="s">
        <v>84</v>
      </c>
      <c r="I201" s="49" t="s">
        <v>83</v>
      </c>
      <c r="J201" s="49" t="s">
        <v>81</v>
      </c>
      <c r="K201" s="49">
        <v>6</v>
      </c>
      <c r="L201" s="49">
        <v>80</v>
      </c>
      <c r="M201" s="49">
        <v>0.08</v>
      </c>
      <c r="N201" s="49">
        <v>480</v>
      </c>
      <c r="O201" s="49">
        <v>441.6</v>
      </c>
      <c r="P201" s="49">
        <v>314.74</v>
      </c>
      <c r="Q201" s="49">
        <v>126.86</v>
      </c>
      <c r="R201" s="49">
        <v>0.2873</v>
      </c>
      <c r="S201" s="49">
        <v>0.7127</v>
      </c>
      <c r="T201" s="49">
        <v>343</v>
      </c>
      <c r="U201" s="49">
        <v>0.61329999999999996</v>
      </c>
      <c r="V201" s="49">
        <v>0</v>
      </c>
      <c r="W201" s="50">
        <v>0</v>
      </c>
      <c r="X201" s="43"/>
      <c r="Y201" s="43"/>
      <c r="Z201" s="43"/>
      <c r="AA201" s="43"/>
      <c r="AB201" s="43"/>
      <c r="AC201" s="43"/>
    </row>
    <row r="202" spans="1:29" x14ac:dyDescent="0.3">
      <c r="A202" s="43"/>
      <c r="B202" s="45" t="s">
        <v>343</v>
      </c>
      <c r="C202" s="48">
        <v>45925</v>
      </c>
      <c r="D202" s="49" t="s">
        <v>140</v>
      </c>
      <c r="E202" s="49" t="s">
        <v>71</v>
      </c>
      <c r="F202" s="49" t="s">
        <v>75</v>
      </c>
      <c r="G202" s="49" t="s">
        <v>153</v>
      </c>
      <c r="H202" s="49" t="s">
        <v>82</v>
      </c>
      <c r="I202" s="49" t="s">
        <v>83</v>
      </c>
      <c r="J202" s="49" t="s">
        <v>81</v>
      </c>
      <c r="K202" s="49">
        <v>7</v>
      </c>
      <c r="L202" s="49">
        <v>300</v>
      </c>
      <c r="M202" s="49">
        <v>0.1</v>
      </c>
      <c r="N202" s="49">
        <v>2100</v>
      </c>
      <c r="O202" s="49">
        <v>1890</v>
      </c>
      <c r="P202" s="49">
        <v>1034.1199999999999</v>
      </c>
      <c r="Q202" s="49">
        <v>855.88</v>
      </c>
      <c r="R202" s="49">
        <v>0.45279999999999998</v>
      </c>
      <c r="S202" s="49">
        <v>0.54720000000000002</v>
      </c>
      <c r="T202" s="49">
        <v>2252</v>
      </c>
      <c r="U202" s="49">
        <v>2.5962000000000001</v>
      </c>
      <c r="V202" s="49">
        <v>1</v>
      </c>
      <c r="W202" s="50">
        <v>0.1429</v>
      </c>
      <c r="X202" s="43"/>
      <c r="Y202" s="43"/>
      <c r="Z202" s="43"/>
      <c r="AA202" s="43"/>
      <c r="AB202" s="43"/>
      <c r="AC202" s="43"/>
    </row>
    <row r="203" spans="1:29" x14ac:dyDescent="0.3">
      <c r="A203" s="43"/>
      <c r="B203" s="45" t="s">
        <v>344</v>
      </c>
      <c r="C203" s="48">
        <v>45863</v>
      </c>
      <c r="D203" s="49" t="s">
        <v>140</v>
      </c>
      <c r="E203" s="49" t="s">
        <v>71</v>
      </c>
      <c r="F203" s="49" t="s">
        <v>72</v>
      </c>
      <c r="G203" s="49" t="s">
        <v>153</v>
      </c>
      <c r="H203" s="49" t="s">
        <v>85</v>
      </c>
      <c r="I203" s="49" t="s">
        <v>80</v>
      </c>
      <c r="J203" s="49" t="s">
        <v>81</v>
      </c>
      <c r="K203" s="49">
        <v>3</v>
      </c>
      <c r="L203" s="49">
        <v>500</v>
      </c>
      <c r="M203" s="49">
        <v>0.1</v>
      </c>
      <c r="N203" s="49">
        <v>1500</v>
      </c>
      <c r="O203" s="49">
        <v>1350</v>
      </c>
      <c r="P203" s="49">
        <v>890.62</v>
      </c>
      <c r="Q203" s="49">
        <v>459.38</v>
      </c>
      <c r="R203" s="49">
        <v>0.34029999999999999</v>
      </c>
      <c r="S203" s="49">
        <v>0.65969999999999995</v>
      </c>
      <c r="T203" s="49">
        <v>2250</v>
      </c>
      <c r="U203" s="49">
        <v>2.0089000000000001</v>
      </c>
      <c r="V203" s="49">
        <v>0</v>
      </c>
      <c r="W203" s="50">
        <v>0</v>
      </c>
      <c r="X203" s="43"/>
      <c r="Y203" s="43"/>
      <c r="Z203" s="43"/>
      <c r="AA203" s="43"/>
      <c r="AB203" s="43"/>
      <c r="AC203" s="43"/>
    </row>
    <row r="204" spans="1:29" x14ac:dyDescent="0.3">
      <c r="A204" s="43"/>
      <c r="B204" s="45" t="s">
        <v>345</v>
      </c>
      <c r="C204" s="48">
        <v>45771</v>
      </c>
      <c r="D204" s="49" t="s">
        <v>143</v>
      </c>
      <c r="E204" s="49" t="s">
        <v>69</v>
      </c>
      <c r="F204" s="49" t="s">
        <v>73</v>
      </c>
      <c r="G204" s="49" t="s">
        <v>183</v>
      </c>
      <c r="H204" s="49" t="s">
        <v>85</v>
      </c>
      <c r="I204" s="49" t="s">
        <v>80</v>
      </c>
      <c r="J204" s="49" t="s">
        <v>81</v>
      </c>
      <c r="K204" s="49">
        <v>1</v>
      </c>
      <c r="L204" s="49">
        <v>500</v>
      </c>
      <c r="M204" s="49">
        <v>0.05</v>
      </c>
      <c r="N204" s="49">
        <v>500</v>
      </c>
      <c r="O204" s="49">
        <v>475</v>
      </c>
      <c r="P204" s="49">
        <v>310.83999999999997</v>
      </c>
      <c r="Q204" s="49">
        <v>164.16</v>
      </c>
      <c r="R204" s="49">
        <v>0.34560000000000002</v>
      </c>
      <c r="S204" s="49">
        <v>0.65439999999999998</v>
      </c>
      <c r="T204" s="49">
        <v>358</v>
      </c>
      <c r="U204" s="49">
        <v>0.5655</v>
      </c>
      <c r="V204" s="49">
        <v>0</v>
      </c>
      <c r="W204" s="50">
        <v>0</v>
      </c>
      <c r="X204" s="43"/>
      <c r="Y204" s="43"/>
      <c r="Z204" s="43"/>
      <c r="AA204" s="43"/>
      <c r="AB204" s="43"/>
      <c r="AC204" s="43"/>
    </row>
    <row r="205" spans="1:29" x14ac:dyDescent="0.3">
      <c r="A205" s="43"/>
      <c r="B205" s="45" t="s">
        <v>346</v>
      </c>
      <c r="C205" s="48">
        <v>45635</v>
      </c>
      <c r="D205" s="49" t="s">
        <v>143</v>
      </c>
      <c r="E205" s="49" t="s">
        <v>69</v>
      </c>
      <c r="F205" s="49" t="s">
        <v>76</v>
      </c>
      <c r="G205" s="49" t="s">
        <v>138</v>
      </c>
      <c r="H205" s="49" t="s">
        <v>84</v>
      </c>
      <c r="I205" s="49" t="s">
        <v>80</v>
      </c>
      <c r="J205" s="49" t="s">
        <v>86</v>
      </c>
      <c r="K205" s="49">
        <v>4</v>
      </c>
      <c r="L205" s="49">
        <v>150</v>
      </c>
      <c r="M205" s="49">
        <v>0</v>
      </c>
      <c r="N205" s="49">
        <v>600</v>
      </c>
      <c r="O205" s="49">
        <v>600</v>
      </c>
      <c r="P205" s="49">
        <v>436.62</v>
      </c>
      <c r="Q205" s="49">
        <v>163.38</v>
      </c>
      <c r="R205" s="49">
        <v>0.27229999999999999</v>
      </c>
      <c r="S205" s="49">
        <v>0.72770000000000001</v>
      </c>
      <c r="T205" s="49">
        <v>727</v>
      </c>
      <c r="U205" s="49">
        <v>0.55559999999999998</v>
      </c>
      <c r="V205" s="49">
        <v>0</v>
      </c>
      <c r="W205" s="50">
        <v>0</v>
      </c>
      <c r="X205" s="43"/>
      <c r="Y205" s="43"/>
      <c r="Z205" s="43"/>
      <c r="AA205" s="43"/>
      <c r="AB205" s="43"/>
      <c r="AC205" s="43"/>
    </row>
    <row r="206" spans="1:29" x14ac:dyDescent="0.3">
      <c r="A206" s="43"/>
      <c r="B206" s="45" t="s">
        <v>347</v>
      </c>
      <c r="C206" s="48">
        <v>45866</v>
      </c>
      <c r="D206" s="49" t="s">
        <v>151</v>
      </c>
      <c r="E206" s="49" t="s">
        <v>70</v>
      </c>
      <c r="F206" s="49" t="s">
        <v>75</v>
      </c>
      <c r="G206" s="49" t="s">
        <v>153</v>
      </c>
      <c r="H206" s="49" t="s">
        <v>85</v>
      </c>
      <c r="I206" s="49" t="s">
        <v>80</v>
      </c>
      <c r="J206" s="49" t="s">
        <v>86</v>
      </c>
      <c r="K206" s="49">
        <v>4</v>
      </c>
      <c r="L206" s="49">
        <v>60</v>
      </c>
      <c r="M206" s="49">
        <v>0.05</v>
      </c>
      <c r="N206" s="49">
        <v>240</v>
      </c>
      <c r="O206" s="49">
        <v>228</v>
      </c>
      <c r="P206" s="49">
        <v>154.99</v>
      </c>
      <c r="Q206" s="49">
        <v>73.010000000000005</v>
      </c>
      <c r="R206" s="49">
        <v>0.32019999999999998</v>
      </c>
      <c r="S206" s="49">
        <v>0.67979999999999996</v>
      </c>
      <c r="T206" s="49">
        <v>277</v>
      </c>
      <c r="U206" s="49">
        <v>0.31319999999999998</v>
      </c>
      <c r="V206" s="49">
        <v>0</v>
      </c>
      <c r="W206" s="50">
        <v>0</v>
      </c>
      <c r="X206" s="43"/>
      <c r="Y206" s="43"/>
      <c r="Z206" s="43"/>
      <c r="AA206" s="43"/>
      <c r="AB206" s="43"/>
      <c r="AC206" s="43"/>
    </row>
    <row r="207" spans="1:29" x14ac:dyDescent="0.3">
      <c r="A207" s="43"/>
      <c r="B207" s="45" t="s">
        <v>348</v>
      </c>
      <c r="C207" s="48">
        <v>45884</v>
      </c>
      <c r="D207" s="49" t="s">
        <v>149</v>
      </c>
      <c r="E207" s="49" t="s">
        <v>70</v>
      </c>
      <c r="F207" s="49" t="s">
        <v>73</v>
      </c>
      <c r="G207" s="49" t="s">
        <v>144</v>
      </c>
      <c r="H207" s="49" t="s">
        <v>79</v>
      </c>
      <c r="I207" s="49" t="s">
        <v>83</v>
      </c>
      <c r="J207" s="49" t="s">
        <v>81</v>
      </c>
      <c r="K207" s="49">
        <v>7</v>
      </c>
      <c r="L207" s="49">
        <v>150</v>
      </c>
      <c r="M207" s="49">
        <v>0.08</v>
      </c>
      <c r="N207" s="49">
        <v>1050</v>
      </c>
      <c r="O207" s="49">
        <v>966</v>
      </c>
      <c r="P207" s="49">
        <v>673.18</v>
      </c>
      <c r="Q207" s="49">
        <v>292.82</v>
      </c>
      <c r="R207" s="49">
        <v>0.30309999999999998</v>
      </c>
      <c r="S207" s="49">
        <v>0.69689999999999996</v>
      </c>
      <c r="T207" s="49">
        <v>1137</v>
      </c>
      <c r="U207" s="49">
        <v>1.0781000000000001</v>
      </c>
      <c r="V207" s="49">
        <v>0</v>
      </c>
      <c r="W207" s="50">
        <v>0</v>
      </c>
      <c r="X207" s="43"/>
      <c r="Y207" s="43"/>
      <c r="Z207" s="43"/>
      <c r="AA207" s="43"/>
      <c r="AB207" s="43"/>
      <c r="AC207" s="43"/>
    </row>
    <row r="208" spans="1:29" x14ac:dyDescent="0.3">
      <c r="A208" s="43"/>
      <c r="B208" s="45" t="s">
        <v>349</v>
      </c>
      <c r="C208" s="48">
        <v>45354</v>
      </c>
      <c r="D208" s="49" t="s">
        <v>143</v>
      </c>
      <c r="E208" s="49" t="s">
        <v>69</v>
      </c>
      <c r="F208" s="49" t="s">
        <v>75</v>
      </c>
      <c r="G208" s="49" t="s">
        <v>153</v>
      </c>
      <c r="H208" s="49" t="s">
        <v>84</v>
      </c>
      <c r="I208" s="49" t="s">
        <v>80</v>
      </c>
      <c r="J208" s="49" t="s">
        <v>81</v>
      </c>
      <c r="K208" s="49">
        <v>4</v>
      </c>
      <c r="L208" s="49">
        <v>150</v>
      </c>
      <c r="M208" s="49">
        <v>0.1</v>
      </c>
      <c r="N208" s="49">
        <v>600</v>
      </c>
      <c r="O208" s="49">
        <v>540</v>
      </c>
      <c r="P208" s="49">
        <v>287.33</v>
      </c>
      <c r="Q208" s="49">
        <v>252.67</v>
      </c>
      <c r="R208" s="49">
        <v>0.46789999999999998</v>
      </c>
      <c r="S208" s="49">
        <v>0.53210000000000002</v>
      </c>
      <c r="T208" s="49">
        <v>589</v>
      </c>
      <c r="U208" s="49">
        <v>0.83079999999999998</v>
      </c>
      <c r="V208" s="49">
        <v>0</v>
      </c>
      <c r="W208" s="50">
        <v>0</v>
      </c>
      <c r="X208" s="43"/>
      <c r="Y208" s="43"/>
      <c r="Z208" s="43"/>
      <c r="AA208" s="43"/>
      <c r="AB208" s="43"/>
      <c r="AC208" s="43"/>
    </row>
    <row r="209" spans="1:29" x14ac:dyDescent="0.3">
      <c r="A209" s="43"/>
      <c r="B209" s="45" t="s">
        <v>350</v>
      </c>
      <c r="C209" s="48">
        <v>45657</v>
      </c>
      <c r="D209" s="49" t="s">
        <v>140</v>
      </c>
      <c r="E209" s="49" t="s">
        <v>71</v>
      </c>
      <c r="F209" s="49" t="s">
        <v>75</v>
      </c>
      <c r="G209" s="49" t="s">
        <v>153</v>
      </c>
      <c r="H209" s="49" t="s">
        <v>84</v>
      </c>
      <c r="I209" s="49" t="s">
        <v>83</v>
      </c>
      <c r="J209" s="49" t="s">
        <v>86</v>
      </c>
      <c r="K209" s="49">
        <v>7</v>
      </c>
      <c r="L209" s="49">
        <v>60</v>
      </c>
      <c r="M209" s="49">
        <v>0.03</v>
      </c>
      <c r="N209" s="49">
        <v>420</v>
      </c>
      <c r="O209" s="49">
        <v>407.4</v>
      </c>
      <c r="P209" s="49">
        <v>292.64</v>
      </c>
      <c r="Q209" s="49">
        <v>114.76</v>
      </c>
      <c r="R209" s="49">
        <v>0.28170000000000001</v>
      </c>
      <c r="S209" s="49">
        <v>0.71830000000000005</v>
      </c>
      <c r="T209" s="49">
        <v>304</v>
      </c>
      <c r="U209" s="49">
        <v>0.52229999999999999</v>
      </c>
      <c r="V209" s="49">
        <v>0</v>
      </c>
      <c r="W209" s="50">
        <v>0</v>
      </c>
      <c r="X209" s="43"/>
      <c r="Y209" s="43"/>
      <c r="Z209" s="43"/>
      <c r="AA209" s="43"/>
      <c r="AB209" s="43"/>
      <c r="AC209" s="43"/>
    </row>
    <row r="210" spans="1:29" x14ac:dyDescent="0.3">
      <c r="A210" s="43"/>
      <c r="B210" s="45" t="s">
        <v>351</v>
      </c>
      <c r="C210" s="48">
        <v>45497</v>
      </c>
      <c r="D210" s="49" t="s">
        <v>143</v>
      </c>
      <c r="E210" s="49" t="s">
        <v>69</v>
      </c>
      <c r="F210" s="49" t="s">
        <v>73</v>
      </c>
      <c r="G210" s="49" t="s">
        <v>138</v>
      </c>
      <c r="H210" s="49" t="s">
        <v>82</v>
      </c>
      <c r="I210" s="49" t="s">
        <v>80</v>
      </c>
      <c r="J210" s="49" t="s">
        <v>81</v>
      </c>
      <c r="K210" s="49">
        <v>5</v>
      </c>
      <c r="L210" s="49">
        <v>300</v>
      </c>
      <c r="M210" s="49">
        <v>0.1</v>
      </c>
      <c r="N210" s="49">
        <v>1500</v>
      </c>
      <c r="O210" s="49">
        <v>1350</v>
      </c>
      <c r="P210" s="49">
        <v>1031.57</v>
      </c>
      <c r="Q210" s="49">
        <v>318.43</v>
      </c>
      <c r="R210" s="49">
        <v>0.2359</v>
      </c>
      <c r="S210" s="49">
        <v>0.7641</v>
      </c>
      <c r="T210" s="49">
        <v>1444</v>
      </c>
      <c r="U210" s="49">
        <v>1.5066999999999999</v>
      </c>
      <c r="V210" s="49">
        <v>0</v>
      </c>
      <c r="W210" s="50">
        <v>0</v>
      </c>
      <c r="X210" s="43"/>
      <c r="Y210" s="43"/>
      <c r="Z210" s="43"/>
      <c r="AA210" s="43"/>
      <c r="AB210" s="43"/>
      <c r="AC210" s="43"/>
    </row>
    <row r="211" spans="1:29" x14ac:dyDescent="0.3">
      <c r="A211" s="43"/>
      <c r="B211" s="45" t="s">
        <v>352</v>
      </c>
      <c r="C211" s="48">
        <v>45708</v>
      </c>
      <c r="D211" s="49" t="s">
        <v>149</v>
      </c>
      <c r="E211" s="49" t="s">
        <v>70</v>
      </c>
      <c r="F211" s="49" t="s">
        <v>73</v>
      </c>
      <c r="G211" s="49" t="s">
        <v>138</v>
      </c>
      <c r="H211" s="49" t="s">
        <v>82</v>
      </c>
      <c r="I211" s="49" t="s">
        <v>83</v>
      </c>
      <c r="J211" s="49" t="s">
        <v>81</v>
      </c>
      <c r="K211" s="49">
        <v>5</v>
      </c>
      <c r="L211" s="49">
        <v>200</v>
      </c>
      <c r="M211" s="49">
        <v>0</v>
      </c>
      <c r="N211" s="49">
        <v>1000</v>
      </c>
      <c r="O211" s="49">
        <v>1000</v>
      </c>
      <c r="P211" s="49">
        <v>627.38</v>
      </c>
      <c r="Q211" s="49">
        <v>372.62</v>
      </c>
      <c r="R211" s="49">
        <v>0.37259999999999999</v>
      </c>
      <c r="S211" s="49">
        <v>0.62739999999999996</v>
      </c>
      <c r="T211" s="49">
        <v>1150</v>
      </c>
      <c r="U211" s="49">
        <v>1.25</v>
      </c>
      <c r="V211" s="49">
        <v>0</v>
      </c>
      <c r="W211" s="50">
        <v>0</v>
      </c>
      <c r="X211" s="43"/>
      <c r="Y211" s="43"/>
      <c r="Z211" s="43"/>
      <c r="AA211" s="43"/>
      <c r="AB211" s="43"/>
      <c r="AC211" s="43"/>
    </row>
    <row r="212" spans="1:29" x14ac:dyDescent="0.3">
      <c r="A212" s="43"/>
      <c r="B212" s="45" t="s">
        <v>353</v>
      </c>
      <c r="C212" s="48">
        <v>45482</v>
      </c>
      <c r="D212" s="49" t="s">
        <v>161</v>
      </c>
      <c r="E212" s="49" t="s">
        <v>68</v>
      </c>
      <c r="F212" s="49" t="s">
        <v>72</v>
      </c>
      <c r="G212" s="49" t="s">
        <v>138</v>
      </c>
      <c r="H212" s="49" t="s">
        <v>84</v>
      </c>
      <c r="I212" s="49" t="s">
        <v>83</v>
      </c>
      <c r="J212" s="49" t="s">
        <v>81</v>
      </c>
      <c r="K212" s="49">
        <v>4</v>
      </c>
      <c r="L212" s="49">
        <v>100</v>
      </c>
      <c r="M212" s="49">
        <v>0.1</v>
      </c>
      <c r="N212" s="49">
        <v>400</v>
      </c>
      <c r="O212" s="49">
        <v>360</v>
      </c>
      <c r="P212" s="49">
        <v>223.36</v>
      </c>
      <c r="Q212" s="49">
        <v>136.63999999999999</v>
      </c>
      <c r="R212" s="49">
        <v>0.37959999999999999</v>
      </c>
      <c r="S212" s="49">
        <v>0.62039999999999995</v>
      </c>
      <c r="T212" s="49">
        <v>238</v>
      </c>
      <c r="U212" s="49">
        <v>0.53569999999999995</v>
      </c>
      <c r="V212" s="49">
        <v>0</v>
      </c>
      <c r="W212" s="50">
        <v>0</v>
      </c>
      <c r="X212" s="43"/>
      <c r="Y212" s="43"/>
      <c r="Z212" s="43"/>
      <c r="AA212" s="43"/>
      <c r="AB212" s="43"/>
      <c r="AC212" s="43"/>
    </row>
    <row r="213" spans="1:29" x14ac:dyDescent="0.3">
      <c r="A213" s="43"/>
      <c r="B213" s="45" t="s">
        <v>354</v>
      </c>
      <c r="C213" s="48">
        <v>45874</v>
      </c>
      <c r="D213" s="49" t="s">
        <v>137</v>
      </c>
      <c r="E213" s="49" t="s">
        <v>71</v>
      </c>
      <c r="F213" s="49" t="s">
        <v>76</v>
      </c>
      <c r="G213" s="49" t="s">
        <v>153</v>
      </c>
      <c r="H213" s="49" t="s">
        <v>85</v>
      </c>
      <c r="I213" s="49" t="s">
        <v>80</v>
      </c>
      <c r="J213" s="49" t="s">
        <v>81</v>
      </c>
      <c r="K213" s="49">
        <v>4</v>
      </c>
      <c r="L213" s="49">
        <v>150</v>
      </c>
      <c r="M213" s="49">
        <v>0.03</v>
      </c>
      <c r="N213" s="49">
        <v>600</v>
      </c>
      <c r="O213" s="49">
        <v>582</v>
      </c>
      <c r="P213" s="49">
        <v>300</v>
      </c>
      <c r="Q213" s="49">
        <v>282</v>
      </c>
      <c r="R213" s="49">
        <v>0.48449999999999999</v>
      </c>
      <c r="S213" s="49">
        <v>0.51549999999999996</v>
      </c>
      <c r="T213" s="49">
        <v>607</v>
      </c>
      <c r="U213" s="49">
        <v>0.57740000000000002</v>
      </c>
      <c r="V213" s="49">
        <v>0</v>
      </c>
      <c r="W213" s="50">
        <v>0</v>
      </c>
      <c r="X213" s="43"/>
      <c r="Y213" s="43"/>
      <c r="Z213" s="43"/>
      <c r="AA213" s="43"/>
      <c r="AB213" s="43"/>
      <c r="AC213" s="43"/>
    </row>
    <row r="214" spans="1:29" x14ac:dyDescent="0.3">
      <c r="A214" s="43"/>
      <c r="B214" s="45" t="s">
        <v>355</v>
      </c>
      <c r="C214" s="48">
        <v>45659</v>
      </c>
      <c r="D214" s="49" t="s">
        <v>151</v>
      </c>
      <c r="E214" s="49" t="s">
        <v>70</v>
      </c>
      <c r="F214" s="49" t="s">
        <v>76</v>
      </c>
      <c r="G214" s="49" t="s">
        <v>144</v>
      </c>
      <c r="H214" s="49" t="s">
        <v>79</v>
      </c>
      <c r="I214" s="49" t="s">
        <v>80</v>
      </c>
      <c r="J214" s="49" t="s">
        <v>81</v>
      </c>
      <c r="K214" s="49">
        <v>2</v>
      </c>
      <c r="L214" s="49">
        <v>25</v>
      </c>
      <c r="M214" s="49">
        <v>0.1</v>
      </c>
      <c r="N214" s="49">
        <v>50</v>
      </c>
      <c r="O214" s="49">
        <v>45</v>
      </c>
      <c r="P214" s="49">
        <v>27.57</v>
      </c>
      <c r="Q214" s="49">
        <v>17.43</v>
      </c>
      <c r="R214" s="49">
        <v>0.38729999999999998</v>
      </c>
      <c r="S214" s="49">
        <v>0.61270000000000002</v>
      </c>
      <c r="T214" s="49">
        <v>30</v>
      </c>
      <c r="U214" s="49">
        <v>0.05</v>
      </c>
      <c r="V214" s="49">
        <v>0</v>
      </c>
      <c r="W214" s="50">
        <v>0</v>
      </c>
      <c r="X214" s="43"/>
      <c r="Y214" s="43"/>
      <c r="Z214" s="43"/>
      <c r="AA214" s="43"/>
      <c r="AB214" s="43"/>
      <c r="AC214" s="43"/>
    </row>
    <row r="215" spans="1:29" x14ac:dyDescent="0.3">
      <c r="A215" s="43"/>
      <c r="B215" s="45" t="s">
        <v>356</v>
      </c>
      <c r="C215" s="48">
        <v>45499</v>
      </c>
      <c r="D215" s="49" t="s">
        <v>137</v>
      </c>
      <c r="E215" s="49" t="s">
        <v>71</v>
      </c>
      <c r="F215" s="49" t="s">
        <v>76</v>
      </c>
      <c r="G215" s="49" t="s">
        <v>153</v>
      </c>
      <c r="H215" s="49" t="s">
        <v>79</v>
      </c>
      <c r="I215" s="49" t="s">
        <v>83</v>
      </c>
      <c r="J215" s="49" t="s">
        <v>86</v>
      </c>
      <c r="K215" s="49">
        <v>4</v>
      </c>
      <c r="L215" s="49">
        <v>750</v>
      </c>
      <c r="M215" s="49">
        <v>0.08</v>
      </c>
      <c r="N215" s="49">
        <v>3000</v>
      </c>
      <c r="O215" s="49">
        <v>2760</v>
      </c>
      <c r="P215" s="49">
        <v>1493.13</v>
      </c>
      <c r="Q215" s="49">
        <v>1266.8699999999999</v>
      </c>
      <c r="R215" s="49">
        <v>0.45900000000000002</v>
      </c>
      <c r="S215" s="49">
        <v>0.54100000000000004</v>
      </c>
      <c r="T215" s="49">
        <v>3281</v>
      </c>
      <c r="U215" s="49">
        <v>2.7381000000000002</v>
      </c>
      <c r="V215" s="49">
        <v>0</v>
      </c>
      <c r="W215" s="50">
        <v>0</v>
      </c>
      <c r="X215" s="43"/>
      <c r="Y215" s="43"/>
      <c r="Z215" s="43"/>
      <c r="AA215" s="43"/>
      <c r="AB215" s="43"/>
      <c r="AC215" s="43"/>
    </row>
    <row r="216" spans="1:29" x14ac:dyDescent="0.3">
      <c r="A216" s="43"/>
      <c r="B216" s="45" t="s">
        <v>357</v>
      </c>
      <c r="C216" s="48">
        <v>45572</v>
      </c>
      <c r="D216" s="49" t="s">
        <v>140</v>
      </c>
      <c r="E216" s="49" t="s">
        <v>71</v>
      </c>
      <c r="F216" s="49" t="s">
        <v>76</v>
      </c>
      <c r="G216" s="49" t="s">
        <v>147</v>
      </c>
      <c r="H216" s="49" t="s">
        <v>82</v>
      </c>
      <c r="I216" s="49" t="s">
        <v>83</v>
      </c>
      <c r="J216" s="49" t="s">
        <v>86</v>
      </c>
      <c r="K216" s="49">
        <v>6</v>
      </c>
      <c r="L216" s="49">
        <v>80</v>
      </c>
      <c r="M216" s="49">
        <v>0.1</v>
      </c>
      <c r="N216" s="49">
        <v>480</v>
      </c>
      <c r="O216" s="49">
        <v>432</v>
      </c>
      <c r="P216" s="49">
        <v>310.85000000000002</v>
      </c>
      <c r="Q216" s="49">
        <v>121.15</v>
      </c>
      <c r="R216" s="49">
        <v>0.28039999999999998</v>
      </c>
      <c r="S216" s="49">
        <v>0.71960000000000002</v>
      </c>
      <c r="T216" s="49">
        <v>341</v>
      </c>
      <c r="U216" s="49">
        <v>0.4</v>
      </c>
      <c r="V216" s="49">
        <v>0</v>
      </c>
      <c r="W216" s="50">
        <v>0</v>
      </c>
      <c r="X216" s="43"/>
      <c r="Y216" s="43"/>
      <c r="Z216" s="43"/>
      <c r="AA216" s="43"/>
      <c r="AB216" s="43"/>
      <c r="AC216" s="43"/>
    </row>
    <row r="217" spans="1:29" x14ac:dyDescent="0.3">
      <c r="A217" s="43"/>
      <c r="B217" s="45" t="s">
        <v>358</v>
      </c>
      <c r="C217" s="48">
        <v>45337</v>
      </c>
      <c r="D217" s="49" t="s">
        <v>140</v>
      </c>
      <c r="E217" s="49" t="s">
        <v>71</v>
      </c>
      <c r="F217" s="49" t="s">
        <v>75</v>
      </c>
      <c r="G217" s="49" t="s">
        <v>153</v>
      </c>
      <c r="H217" s="49" t="s">
        <v>82</v>
      </c>
      <c r="I217" s="49" t="s">
        <v>83</v>
      </c>
      <c r="J217" s="49" t="s">
        <v>81</v>
      </c>
      <c r="K217" s="49">
        <v>3</v>
      </c>
      <c r="L217" s="49">
        <v>40</v>
      </c>
      <c r="M217" s="49">
        <v>0.03</v>
      </c>
      <c r="N217" s="49">
        <v>120</v>
      </c>
      <c r="O217" s="49">
        <v>116.4</v>
      </c>
      <c r="P217" s="49">
        <v>62.76</v>
      </c>
      <c r="Q217" s="49">
        <v>53.64</v>
      </c>
      <c r="R217" s="49">
        <v>0.46079999999999999</v>
      </c>
      <c r="S217" s="49">
        <v>0.53920000000000001</v>
      </c>
      <c r="T217" s="49">
        <v>178</v>
      </c>
      <c r="U217" s="49">
        <v>0.17910000000000001</v>
      </c>
      <c r="V217" s="49">
        <v>0</v>
      </c>
      <c r="W217" s="50">
        <v>0</v>
      </c>
      <c r="X217" s="43"/>
      <c r="Y217" s="43"/>
      <c r="Z217" s="43"/>
      <c r="AA217" s="43"/>
      <c r="AB217" s="43"/>
      <c r="AC217" s="43"/>
    </row>
    <row r="218" spans="1:29" x14ac:dyDescent="0.3">
      <c r="A218" s="43"/>
      <c r="B218" s="45" t="s">
        <v>359</v>
      </c>
      <c r="C218" s="48">
        <v>45463</v>
      </c>
      <c r="D218" s="49" t="s">
        <v>161</v>
      </c>
      <c r="E218" s="49" t="s">
        <v>68</v>
      </c>
      <c r="F218" s="49" t="s">
        <v>76</v>
      </c>
      <c r="G218" s="49" t="s">
        <v>144</v>
      </c>
      <c r="H218" s="49" t="s">
        <v>82</v>
      </c>
      <c r="I218" s="49" t="s">
        <v>83</v>
      </c>
      <c r="J218" s="49" t="s">
        <v>81</v>
      </c>
      <c r="K218" s="49">
        <v>3</v>
      </c>
      <c r="L218" s="49">
        <v>40</v>
      </c>
      <c r="M218" s="49">
        <v>0.15</v>
      </c>
      <c r="N218" s="49">
        <v>120</v>
      </c>
      <c r="O218" s="49">
        <v>102</v>
      </c>
      <c r="P218" s="49">
        <v>67.47</v>
      </c>
      <c r="Q218" s="49">
        <v>34.53</v>
      </c>
      <c r="R218" s="49">
        <v>0.33850000000000002</v>
      </c>
      <c r="S218" s="49">
        <v>0.66149999999999998</v>
      </c>
      <c r="T218" s="49">
        <v>110</v>
      </c>
      <c r="U218" s="49">
        <v>0.1079</v>
      </c>
      <c r="V218" s="49">
        <v>0</v>
      </c>
      <c r="W218" s="50">
        <v>0</v>
      </c>
      <c r="X218" s="43"/>
      <c r="Y218" s="43"/>
      <c r="Z218" s="43"/>
      <c r="AA218" s="43"/>
      <c r="AB218" s="43"/>
      <c r="AC218" s="43"/>
    </row>
    <row r="219" spans="1:29" x14ac:dyDescent="0.3">
      <c r="A219" s="43"/>
      <c r="B219" s="45" t="s">
        <v>360</v>
      </c>
      <c r="C219" s="48">
        <v>45421</v>
      </c>
      <c r="D219" s="49" t="s">
        <v>140</v>
      </c>
      <c r="E219" s="49" t="s">
        <v>71</v>
      </c>
      <c r="F219" s="49" t="s">
        <v>75</v>
      </c>
      <c r="G219" s="49" t="s">
        <v>144</v>
      </c>
      <c r="H219" s="49" t="s">
        <v>85</v>
      </c>
      <c r="I219" s="49" t="s">
        <v>80</v>
      </c>
      <c r="J219" s="49" t="s">
        <v>81</v>
      </c>
      <c r="K219" s="49">
        <v>4</v>
      </c>
      <c r="L219" s="49">
        <v>200</v>
      </c>
      <c r="M219" s="49">
        <v>0.08</v>
      </c>
      <c r="N219" s="49">
        <v>800</v>
      </c>
      <c r="O219" s="49">
        <v>736</v>
      </c>
      <c r="P219" s="49">
        <v>443.92</v>
      </c>
      <c r="Q219" s="49">
        <v>292.08</v>
      </c>
      <c r="R219" s="49">
        <v>0.39679999999999999</v>
      </c>
      <c r="S219" s="49">
        <v>0.60319999999999996</v>
      </c>
      <c r="T219" s="49">
        <v>789</v>
      </c>
      <c r="U219" s="49">
        <v>1.0791999999999999</v>
      </c>
      <c r="V219" s="49">
        <v>1</v>
      </c>
      <c r="W219" s="50">
        <v>0.25</v>
      </c>
      <c r="X219" s="43"/>
      <c r="Y219" s="43"/>
      <c r="Z219" s="43"/>
      <c r="AA219" s="43"/>
      <c r="AB219" s="43"/>
      <c r="AC219" s="43"/>
    </row>
    <row r="220" spans="1:29" x14ac:dyDescent="0.3">
      <c r="A220" s="43"/>
      <c r="B220" s="45" t="s">
        <v>361</v>
      </c>
      <c r="C220" s="48">
        <v>45975</v>
      </c>
      <c r="D220" s="49" t="s">
        <v>143</v>
      </c>
      <c r="E220" s="49" t="s">
        <v>69</v>
      </c>
      <c r="F220" s="49" t="s">
        <v>75</v>
      </c>
      <c r="G220" s="49" t="s">
        <v>141</v>
      </c>
      <c r="H220" s="49" t="s">
        <v>85</v>
      </c>
      <c r="I220" s="49" t="s">
        <v>80</v>
      </c>
      <c r="J220" s="49" t="s">
        <v>81</v>
      </c>
      <c r="K220" s="49">
        <v>6</v>
      </c>
      <c r="L220" s="49">
        <v>40</v>
      </c>
      <c r="M220" s="49">
        <v>0.05</v>
      </c>
      <c r="N220" s="49">
        <v>240</v>
      </c>
      <c r="O220" s="49">
        <v>228</v>
      </c>
      <c r="P220" s="49">
        <v>144.09</v>
      </c>
      <c r="Q220" s="49">
        <v>83.91</v>
      </c>
      <c r="R220" s="49">
        <v>0.36799999999999999</v>
      </c>
      <c r="S220" s="49">
        <v>0.63200000000000001</v>
      </c>
      <c r="T220" s="49">
        <v>442</v>
      </c>
      <c r="U220" s="49">
        <v>0.2923</v>
      </c>
      <c r="V220" s="49">
        <v>0</v>
      </c>
      <c r="W220" s="50">
        <v>0</v>
      </c>
      <c r="X220" s="43"/>
      <c r="Y220" s="43"/>
      <c r="Z220" s="43"/>
      <c r="AA220" s="43"/>
      <c r="AB220" s="43"/>
      <c r="AC220" s="43"/>
    </row>
    <row r="221" spans="1:29" x14ac:dyDescent="0.3">
      <c r="A221" s="43"/>
      <c r="B221" s="45" t="s">
        <v>362</v>
      </c>
      <c r="C221" s="48">
        <v>45809</v>
      </c>
      <c r="D221" s="49" t="s">
        <v>161</v>
      </c>
      <c r="E221" s="49" t="s">
        <v>68</v>
      </c>
      <c r="F221" s="49" t="s">
        <v>75</v>
      </c>
      <c r="G221" s="49" t="s">
        <v>144</v>
      </c>
      <c r="H221" s="49" t="s">
        <v>82</v>
      </c>
      <c r="I221" s="49" t="s">
        <v>80</v>
      </c>
      <c r="J221" s="49" t="s">
        <v>81</v>
      </c>
      <c r="K221" s="49">
        <v>5</v>
      </c>
      <c r="L221" s="49">
        <v>200</v>
      </c>
      <c r="M221" s="49">
        <v>0.1</v>
      </c>
      <c r="N221" s="49">
        <v>1000</v>
      </c>
      <c r="O221" s="49">
        <v>900</v>
      </c>
      <c r="P221" s="49">
        <v>500.04</v>
      </c>
      <c r="Q221" s="49">
        <v>399.96</v>
      </c>
      <c r="R221" s="49">
        <v>0.44440000000000002</v>
      </c>
      <c r="S221" s="49">
        <v>0.55559999999999998</v>
      </c>
      <c r="T221" s="49">
        <v>715</v>
      </c>
      <c r="U221" s="49">
        <v>1.3196000000000001</v>
      </c>
      <c r="V221" s="49">
        <v>0</v>
      </c>
      <c r="W221" s="50">
        <v>0</v>
      </c>
      <c r="X221" s="43"/>
      <c r="Y221" s="43"/>
      <c r="Z221" s="43"/>
      <c r="AA221" s="43"/>
      <c r="AB221" s="43"/>
      <c r="AC221" s="43"/>
    </row>
    <row r="222" spans="1:29" x14ac:dyDescent="0.3">
      <c r="A222" s="43"/>
      <c r="B222" s="45" t="s">
        <v>363</v>
      </c>
      <c r="C222" s="48">
        <v>45541</v>
      </c>
      <c r="D222" s="49" t="s">
        <v>140</v>
      </c>
      <c r="E222" s="49" t="s">
        <v>71</v>
      </c>
      <c r="F222" s="49" t="s">
        <v>72</v>
      </c>
      <c r="G222" s="49" t="s">
        <v>183</v>
      </c>
      <c r="H222" s="49" t="s">
        <v>79</v>
      </c>
      <c r="I222" s="49" t="s">
        <v>80</v>
      </c>
      <c r="J222" s="49" t="s">
        <v>81</v>
      </c>
      <c r="K222" s="49">
        <v>6</v>
      </c>
      <c r="L222" s="49">
        <v>500</v>
      </c>
      <c r="M222" s="49">
        <v>0.03</v>
      </c>
      <c r="N222" s="49">
        <v>3000</v>
      </c>
      <c r="O222" s="49">
        <v>2910</v>
      </c>
      <c r="P222" s="49">
        <v>1503.28</v>
      </c>
      <c r="Q222" s="49">
        <v>1406.72</v>
      </c>
      <c r="R222" s="49">
        <v>0.4834</v>
      </c>
      <c r="S222" s="49">
        <v>0.51659999999999995</v>
      </c>
      <c r="T222" s="49">
        <v>4457</v>
      </c>
      <c r="U222" s="49">
        <v>4.3304</v>
      </c>
      <c r="V222" s="49">
        <v>0</v>
      </c>
      <c r="W222" s="50">
        <v>0</v>
      </c>
      <c r="X222" s="43"/>
      <c r="Y222" s="43"/>
      <c r="Z222" s="43"/>
      <c r="AA222" s="43"/>
      <c r="AB222" s="43"/>
      <c r="AC222" s="43"/>
    </row>
    <row r="223" spans="1:29" x14ac:dyDescent="0.3">
      <c r="A223" s="43"/>
      <c r="B223" s="45" t="s">
        <v>364</v>
      </c>
      <c r="C223" s="48">
        <v>45988</v>
      </c>
      <c r="D223" s="49" t="s">
        <v>140</v>
      </c>
      <c r="E223" s="49" t="s">
        <v>71</v>
      </c>
      <c r="F223" s="49" t="s">
        <v>72</v>
      </c>
      <c r="G223" s="49" t="s">
        <v>144</v>
      </c>
      <c r="H223" s="49" t="s">
        <v>84</v>
      </c>
      <c r="I223" s="49" t="s">
        <v>80</v>
      </c>
      <c r="J223" s="49" t="s">
        <v>81</v>
      </c>
      <c r="K223" s="49">
        <v>6</v>
      </c>
      <c r="L223" s="49">
        <v>500</v>
      </c>
      <c r="M223" s="49">
        <v>0.05</v>
      </c>
      <c r="N223" s="49">
        <v>3000</v>
      </c>
      <c r="O223" s="49">
        <v>2850</v>
      </c>
      <c r="P223" s="49">
        <v>1620.28</v>
      </c>
      <c r="Q223" s="49">
        <v>1229.72</v>
      </c>
      <c r="R223" s="49">
        <v>0.43149999999999999</v>
      </c>
      <c r="S223" s="49">
        <v>0.56850000000000001</v>
      </c>
      <c r="T223" s="49">
        <v>3047</v>
      </c>
      <c r="U223" s="49">
        <v>3.9582999999999999</v>
      </c>
      <c r="V223" s="49">
        <v>0</v>
      </c>
      <c r="W223" s="50">
        <v>0</v>
      </c>
      <c r="X223" s="43"/>
      <c r="Y223" s="43"/>
      <c r="Z223" s="43"/>
      <c r="AA223" s="43"/>
      <c r="AB223" s="43"/>
      <c r="AC223" s="43"/>
    </row>
    <row r="224" spans="1:29" x14ac:dyDescent="0.3">
      <c r="A224" s="43"/>
      <c r="B224" s="45" t="s">
        <v>365</v>
      </c>
      <c r="C224" s="48">
        <v>45937</v>
      </c>
      <c r="D224" s="49" t="s">
        <v>161</v>
      </c>
      <c r="E224" s="49" t="s">
        <v>68</v>
      </c>
      <c r="F224" s="49" t="s">
        <v>72</v>
      </c>
      <c r="G224" s="49" t="s">
        <v>153</v>
      </c>
      <c r="H224" s="49" t="s">
        <v>79</v>
      </c>
      <c r="I224" s="49" t="s">
        <v>83</v>
      </c>
      <c r="J224" s="49" t="s">
        <v>81</v>
      </c>
      <c r="K224" s="49">
        <v>6</v>
      </c>
      <c r="L224" s="49">
        <v>80</v>
      </c>
      <c r="M224" s="49">
        <v>0.03</v>
      </c>
      <c r="N224" s="49">
        <v>480</v>
      </c>
      <c r="O224" s="49">
        <v>465.6</v>
      </c>
      <c r="P224" s="49">
        <v>275.79000000000002</v>
      </c>
      <c r="Q224" s="49">
        <v>189.81</v>
      </c>
      <c r="R224" s="49">
        <v>0.40770000000000001</v>
      </c>
      <c r="S224" s="49">
        <v>0.59230000000000005</v>
      </c>
      <c r="T224" s="49">
        <v>344</v>
      </c>
      <c r="U224" s="49">
        <v>0.64670000000000005</v>
      </c>
      <c r="V224" s="49">
        <v>0</v>
      </c>
      <c r="W224" s="50">
        <v>0</v>
      </c>
      <c r="X224" s="43"/>
      <c r="Y224" s="43"/>
      <c r="Z224" s="43"/>
      <c r="AA224" s="43"/>
      <c r="AB224" s="43"/>
      <c r="AC224" s="43"/>
    </row>
    <row r="225" spans="1:29" x14ac:dyDescent="0.3">
      <c r="A225" s="43"/>
      <c r="B225" s="45" t="s">
        <v>366</v>
      </c>
      <c r="C225" s="48">
        <v>45354</v>
      </c>
      <c r="D225" s="49" t="s">
        <v>140</v>
      </c>
      <c r="E225" s="49" t="s">
        <v>71</v>
      </c>
      <c r="F225" s="49" t="s">
        <v>76</v>
      </c>
      <c r="G225" s="49" t="s">
        <v>144</v>
      </c>
      <c r="H225" s="49" t="s">
        <v>79</v>
      </c>
      <c r="I225" s="49" t="s">
        <v>83</v>
      </c>
      <c r="J225" s="49" t="s">
        <v>81</v>
      </c>
      <c r="K225" s="49">
        <v>2</v>
      </c>
      <c r="L225" s="49">
        <v>200</v>
      </c>
      <c r="M225" s="49">
        <v>0.05</v>
      </c>
      <c r="N225" s="49">
        <v>400</v>
      </c>
      <c r="O225" s="49">
        <v>380</v>
      </c>
      <c r="P225" s="49">
        <v>237.09</v>
      </c>
      <c r="Q225" s="49">
        <v>142.91</v>
      </c>
      <c r="R225" s="49">
        <v>0.37609999999999999</v>
      </c>
      <c r="S225" s="49">
        <v>0.62390000000000001</v>
      </c>
      <c r="T225" s="49">
        <v>333</v>
      </c>
      <c r="U225" s="49">
        <v>0.42220000000000002</v>
      </c>
      <c r="V225" s="49">
        <v>0</v>
      </c>
      <c r="W225" s="50">
        <v>0</v>
      </c>
      <c r="X225" s="43"/>
      <c r="Y225" s="43"/>
      <c r="Z225" s="43"/>
      <c r="AA225" s="43"/>
      <c r="AB225" s="43"/>
      <c r="AC225" s="43"/>
    </row>
    <row r="226" spans="1:29" x14ac:dyDescent="0.3">
      <c r="A226" s="43"/>
      <c r="B226" s="45" t="s">
        <v>367</v>
      </c>
      <c r="C226" s="48">
        <v>45605</v>
      </c>
      <c r="D226" s="49" t="s">
        <v>161</v>
      </c>
      <c r="E226" s="49" t="s">
        <v>68</v>
      </c>
      <c r="F226" s="49" t="s">
        <v>76</v>
      </c>
      <c r="G226" s="49" t="s">
        <v>138</v>
      </c>
      <c r="H226" s="49" t="s">
        <v>84</v>
      </c>
      <c r="I226" s="49" t="s">
        <v>80</v>
      </c>
      <c r="J226" s="49" t="s">
        <v>81</v>
      </c>
      <c r="K226" s="49">
        <v>4</v>
      </c>
      <c r="L226" s="49">
        <v>150</v>
      </c>
      <c r="M226" s="49">
        <v>0</v>
      </c>
      <c r="N226" s="49">
        <v>600</v>
      </c>
      <c r="O226" s="49">
        <v>600</v>
      </c>
      <c r="P226" s="49">
        <v>371.7</v>
      </c>
      <c r="Q226" s="49">
        <v>228.3</v>
      </c>
      <c r="R226" s="49">
        <v>0.3805</v>
      </c>
      <c r="S226" s="49">
        <v>0.61950000000000005</v>
      </c>
      <c r="T226" s="49">
        <v>632</v>
      </c>
      <c r="U226" s="49">
        <v>0.55559999999999998</v>
      </c>
      <c r="V226" s="49">
        <v>0</v>
      </c>
      <c r="W226" s="50">
        <v>0</v>
      </c>
      <c r="X226" s="43"/>
      <c r="Y226" s="43"/>
      <c r="Z226" s="43"/>
      <c r="AA226" s="43"/>
      <c r="AB226" s="43"/>
      <c r="AC226" s="43"/>
    </row>
    <row r="227" spans="1:29" x14ac:dyDescent="0.3">
      <c r="A227" s="43"/>
      <c r="B227" s="45" t="s">
        <v>368</v>
      </c>
      <c r="C227" s="48">
        <v>45995</v>
      </c>
      <c r="D227" s="49" t="s">
        <v>143</v>
      </c>
      <c r="E227" s="49" t="s">
        <v>69</v>
      </c>
      <c r="F227" s="49" t="s">
        <v>73</v>
      </c>
      <c r="G227" s="49" t="s">
        <v>144</v>
      </c>
      <c r="H227" s="49" t="s">
        <v>79</v>
      </c>
      <c r="I227" s="49" t="s">
        <v>80</v>
      </c>
      <c r="J227" s="49" t="s">
        <v>81</v>
      </c>
      <c r="K227" s="49">
        <v>6</v>
      </c>
      <c r="L227" s="49">
        <v>200</v>
      </c>
      <c r="M227" s="49">
        <v>0.15</v>
      </c>
      <c r="N227" s="49">
        <v>1200</v>
      </c>
      <c r="O227" s="49">
        <v>1020</v>
      </c>
      <c r="P227" s="49">
        <v>836.4</v>
      </c>
      <c r="Q227" s="49">
        <v>183.6</v>
      </c>
      <c r="R227" s="49">
        <v>0.18</v>
      </c>
      <c r="S227" s="49">
        <v>0.82</v>
      </c>
      <c r="T227" s="49">
        <v>470</v>
      </c>
      <c r="U227" s="49">
        <v>1.0625</v>
      </c>
      <c r="V227" s="49">
        <v>0</v>
      </c>
      <c r="W227" s="50">
        <v>0</v>
      </c>
      <c r="X227" s="43"/>
      <c r="Y227" s="43"/>
      <c r="Z227" s="43"/>
      <c r="AA227" s="43"/>
      <c r="AB227" s="43"/>
      <c r="AC227" s="43"/>
    </row>
    <row r="228" spans="1:29" x14ac:dyDescent="0.3">
      <c r="A228" s="43"/>
      <c r="B228" s="45" t="s">
        <v>369</v>
      </c>
      <c r="C228" s="48">
        <v>45802</v>
      </c>
      <c r="D228" s="49" t="s">
        <v>143</v>
      </c>
      <c r="E228" s="49" t="s">
        <v>69</v>
      </c>
      <c r="F228" s="49" t="s">
        <v>76</v>
      </c>
      <c r="G228" s="49" t="s">
        <v>144</v>
      </c>
      <c r="H228" s="49" t="s">
        <v>84</v>
      </c>
      <c r="I228" s="49" t="s">
        <v>80</v>
      </c>
      <c r="J228" s="49" t="s">
        <v>86</v>
      </c>
      <c r="K228" s="49">
        <v>7</v>
      </c>
      <c r="L228" s="49">
        <v>40</v>
      </c>
      <c r="M228" s="49">
        <v>0.1</v>
      </c>
      <c r="N228" s="49">
        <v>280</v>
      </c>
      <c r="O228" s="49">
        <v>252</v>
      </c>
      <c r="P228" s="49">
        <v>196.63</v>
      </c>
      <c r="Q228" s="49">
        <v>55.37</v>
      </c>
      <c r="R228" s="49">
        <v>0.21970000000000001</v>
      </c>
      <c r="S228" s="49">
        <v>0.78029999999999999</v>
      </c>
      <c r="T228" s="49">
        <v>303</v>
      </c>
      <c r="U228" s="49">
        <v>0.26669999999999999</v>
      </c>
      <c r="V228" s="49">
        <v>0</v>
      </c>
      <c r="W228" s="50">
        <v>0</v>
      </c>
      <c r="X228" s="43"/>
      <c r="Y228" s="43"/>
      <c r="Z228" s="43"/>
      <c r="AA228" s="43"/>
      <c r="AB228" s="43"/>
      <c r="AC228" s="43"/>
    </row>
    <row r="229" spans="1:29" x14ac:dyDescent="0.3">
      <c r="A229" s="43"/>
      <c r="B229" s="45" t="s">
        <v>370</v>
      </c>
      <c r="C229" s="48">
        <v>45675</v>
      </c>
      <c r="D229" s="49" t="s">
        <v>140</v>
      </c>
      <c r="E229" s="49" t="s">
        <v>71</v>
      </c>
      <c r="F229" s="49" t="s">
        <v>72</v>
      </c>
      <c r="G229" s="49" t="s">
        <v>183</v>
      </c>
      <c r="H229" s="49" t="s">
        <v>84</v>
      </c>
      <c r="I229" s="49" t="s">
        <v>80</v>
      </c>
      <c r="J229" s="49" t="s">
        <v>81</v>
      </c>
      <c r="K229" s="49">
        <v>3</v>
      </c>
      <c r="L229" s="49">
        <v>80</v>
      </c>
      <c r="M229" s="49">
        <v>0.15</v>
      </c>
      <c r="N229" s="49">
        <v>240</v>
      </c>
      <c r="O229" s="49">
        <v>204</v>
      </c>
      <c r="P229" s="49">
        <v>133.69999999999999</v>
      </c>
      <c r="Q229" s="49">
        <v>70.3</v>
      </c>
      <c r="R229" s="49">
        <v>0.34460000000000002</v>
      </c>
      <c r="S229" s="49">
        <v>0.65539999999999998</v>
      </c>
      <c r="T229" s="49">
        <v>216</v>
      </c>
      <c r="U229" s="49">
        <v>0.34</v>
      </c>
      <c r="V229" s="49">
        <v>0</v>
      </c>
      <c r="W229" s="50">
        <v>0</v>
      </c>
      <c r="X229" s="43"/>
      <c r="Y229" s="43"/>
      <c r="Z229" s="43"/>
      <c r="AA229" s="43"/>
      <c r="AB229" s="43"/>
      <c r="AC229" s="43"/>
    </row>
    <row r="230" spans="1:29" x14ac:dyDescent="0.3">
      <c r="A230" s="43"/>
      <c r="B230" s="45" t="s">
        <v>371</v>
      </c>
      <c r="C230" s="48">
        <v>45765</v>
      </c>
      <c r="D230" s="49" t="s">
        <v>151</v>
      </c>
      <c r="E230" s="49" t="s">
        <v>70</v>
      </c>
      <c r="F230" s="49" t="s">
        <v>75</v>
      </c>
      <c r="G230" s="49" t="s">
        <v>147</v>
      </c>
      <c r="H230" s="49" t="s">
        <v>82</v>
      </c>
      <c r="I230" s="49" t="s">
        <v>80</v>
      </c>
      <c r="J230" s="49" t="s">
        <v>86</v>
      </c>
      <c r="K230" s="49">
        <v>4</v>
      </c>
      <c r="L230" s="49">
        <v>300</v>
      </c>
      <c r="M230" s="49">
        <v>0.1</v>
      </c>
      <c r="N230" s="49">
        <v>1200</v>
      </c>
      <c r="O230" s="49">
        <v>1080</v>
      </c>
      <c r="P230" s="49">
        <v>537.80999999999995</v>
      </c>
      <c r="Q230" s="49">
        <v>542.19000000000005</v>
      </c>
      <c r="R230" s="49">
        <v>0.502</v>
      </c>
      <c r="S230" s="49">
        <v>0.498</v>
      </c>
      <c r="T230" s="49">
        <v>1820</v>
      </c>
      <c r="U230" s="49">
        <v>1.5835999999999999</v>
      </c>
      <c r="V230" s="49">
        <v>0</v>
      </c>
      <c r="W230" s="50">
        <v>0</v>
      </c>
      <c r="X230" s="43"/>
      <c r="Y230" s="43"/>
      <c r="Z230" s="43"/>
      <c r="AA230" s="43"/>
      <c r="AB230" s="43"/>
      <c r="AC230" s="43"/>
    </row>
    <row r="231" spans="1:29" x14ac:dyDescent="0.3">
      <c r="A231" s="43"/>
      <c r="B231" s="45" t="s">
        <v>372</v>
      </c>
      <c r="C231" s="48">
        <v>45851</v>
      </c>
      <c r="D231" s="49" t="s">
        <v>140</v>
      </c>
      <c r="E231" s="49" t="s">
        <v>71</v>
      </c>
      <c r="F231" s="49" t="s">
        <v>74</v>
      </c>
      <c r="G231" s="49" t="s">
        <v>147</v>
      </c>
      <c r="H231" s="49" t="s">
        <v>85</v>
      </c>
      <c r="I231" s="49" t="s">
        <v>83</v>
      </c>
      <c r="J231" s="49" t="s">
        <v>81</v>
      </c>
      <c r="K231" s="49">
        <v>3</v>
      </c>
      <c r="L231" s="49">
        <v>80</v>
      </c>
      <c r="M231" s="49">
        <v>0</v>
      </c>
      <c r="N231" s="49">
        <v>240</v>
      </c>
      <c r="O231" s="49">
        <v>240</v>
      </c>
      <c r="P231" s="49">
        <v>146.08000000000001</v>
      </c>
      <c r="Q231" s="49">
        <v>93.92</v>
      </c>
      <c r="R231" s="49">
        <v>0.39129999999999998</v>
      </c>
      <c r="S231" s="49">
        <v>0.60870000000000002</v>
      </c>
      <c r="T231" s="49">
        <v>252</v>
      </c>
      <c r="U231" s="49">
        <v>0.28570000000000001</v>
      </c>
      <c r="V231" s="49">
        <v>0</v>
      </c>
      <c r="W231" s="50">
        <v>0</v>
      </c>
      <c r="X231" s="43"/>
      <c r="Y231" s="43"/>
      <c r="Z231" s="43"/>
      <c r="AA231" s="43"/>
      <c r="AB231" s="43"/>
      <c r="AC231" s="43"/>
    </row>
    <row r="232" spans="1:29" x14ac:dyDescent="0.3">
      <c r="A232" s="43"/>
      <c r="B232" s="45" t="s">
        <v>373</v>
      </c>
      <c r="C232" s="48">
        <v>45665</v>
      </c>
      <c r="D232" s="49" t="s">
        <v>137</v>
      </c>
      <c r="E232" s="49" t="s">
        <v>71</v>
      </c>
      <c r="F232" s="49" t="s">
        <v>74</v>
      </c>
      <c r="G232" s="49" t="s">
        <v>144</v>
      </c>
      <c r="H232" s="49" t="s">
        <v>84</v>
      </c>
      <c r="I232" s="49" t="s">
        <v>83</v>
      </c>
      <c r="J232" s="49" t="s">
        <v>81</v>
      </c>
      <c r="K232" s="49">
        <v>2</v>
      </c>
      <c r="L232" s="49">
        <v>100</v>
      </c>
      <c r="M232" s="49">
        <v>0</v>
      </c>
      <c r="N232" s="49">
        <v>200</v>
      </c>
      <c r="O232" s="49">
        <v>200</v>
      </c>
      <c r="P232" s="49">
        <v>156.33000000000001</v>
      </c>
      <c r="Q232" s="49">
        <v>43.67</v>
      </c>
      <c r="R232" s="49">
        <v>0.21840000000000001</v>
      </c>
      <c r="S232" s="49">
        <v>0.78169999999999995</v>
      </c>
      <c r="T232" s="49">
        <v>214</v>
      </c>
      <c r="U232" s="49">
        <v>0.26669999999999999</v>
      </c>
      <c r="V232" s="49">
        <v>0</v>
      </c>
      <c r="W232" s="50">
        <v>0</v>
      </c>
      <c r="X232" s="43"/>
      <c r="Y232" s="43"/>
      <c r="Z232" s="43"/>
      <c r="AA232" s="43"/>
      <c r="AB232" s="43"/>
      <c r="AC232" s="43"/>
    </row>
    <row r="233" spans="1:29" x14ac:dyDescent="0.3">
      <c r="A233" s="43"/>
      <c r="B233" s="45" t="s">
        <v>374</v>
      </c>
      <c r="C233" s="48">
        <v>45586</v>
      </c>
      <c r="D233" s="49" t="s">
        <v>140</v>
      </c>
      <c r="E233" s="49" t="s">
        <v>71</v>
      </c>
      <c r="F233" s="49" t="s">
        <v>74</v>
      </c>
      <c r="G233" s="49" t="s">
        <v>144</v>
      </c>
      <c r="H233" s="49" t="s">
        <v>79</v>
      </c>
      <c r="I233" s="49" t="s">
        <v>80</v>
      </c>
      <c r="J233" s="49" t="s">
        <v>81</v>
      </c>
      <c r="K233" s="49">
        <v>2</v>
      </c>
      <c r="L233" s="49">
        <v>150</v>
      </c>
      <c r="M233" s="49">
        <v>0.05</v>
      </c>
      <c r="N233" s="49">
        <v>300</v>
      </c>
      <c r="O233" s="49">
        <v>285</v>
      </c>
      <c r="P233" s="49">
        <v>231.35</v>
      </c>
      <c r="Q233" s="49">
        <v>53.65</v>
      </c>
      <c r="R233" s="49">
        <v>0.18820000000000001</v>
      </c>
      <c r="S233" s="49">
        <v>0.81179999999999997</v>
      </c>
      <c r="T233" s="49">
        <v>338</v>
      </c>
      <c r="U233" s="49">
        <v>0.31669999999999998</v>
      </c>
      <c r="V233" s="49">
        <v>0</v>
      </c>
      <c r="W233" s="50">
        <v>0</v>
      </c>
      <c r="X233" s="43"/>
      <c r="Y233" s="43"/>
      <c r="Z233" s="43"/>
      <c r="AA233" s="43"/>
      <c r="AB233" s="43"/>
      <c r="AC233" s="43"/>
    </row>
    <row r="234" spans="1:29" x14ac:dyDescent="0.3">
      <c r="A234" s="43"/>
      <c r="B234" s="45" t="s">
        <v>375</v>
      </c>
      <c r="C234" s="48">
        <v>45696</v>
      </c>
      <c r="D234" s="49" t="s">
        <v>143</v>
      </c>
      <c r="E234" s="49" t="s">
        <v>69</v>
      </c>
      <c r="F234" s="49" t="s">
        <v>72</v>
      </c>
      <c r="G234" s="49" t="s">
        <v>141</v>
      </c>
      <c r="H234" s="49" t="s">
        <v>84</v>
      </c>
      <c r="I234" s="49" t="s">
        <v>83</v>
      </c>
      <c r="J234" s="49" t="s">
        <v>86</v>
      </c>
      <c r="K234" s="49">
        <v>1</v>
      </c>
      <c r="L234" s="49">
        <v>300</v>
      </c>
      <c r="M234" s="49">
        <v>0.1</v>
      </c>
      <c r="N234" s="49">
        <v>300</v>
      </c>
      <c r="O234" s="49">
        <v>270</v>
      </c>
      <c r="P234" s="49">
        <v>140.28</v>
      </c>
      <c r="Q234" s="49">
        <v>129.72</v>
      </c>
      <c r="R234" s="49">
        <v>0.48039999999999999</v>
      </c>
      <c r="S234" s="49">
        <v>0.51959999999999995</v>
      </c>
      <c r="T234" s="49">
        <v>285</v>
      </c>
      <c r="U234" s="49">
        <v>0.45</v>
      </c>
      <c r="V234" s="49">
        <v>0</v>
      </c>
      <c r="W234" s="50">
        <v>0</v>
      </c>
      <c r="X234" s="43"/>
      <c r="Y234" s="43"/>
      <c r="Z234" s="43"/>
      <c r="AA234" s="43"/>
      <c r="AB234" s="43"/>
      <c r="AC234" s="43"/>
    </row>
    <row r="235" spans="1:29" x14ac:dyDescent="0.3">
      <c r="A235" s="43"/>
      <c r="B235" s="45" t="s">
        <v>376</v>
      </c>
      <c r="C235" s="48">
        <v>45755</v>
      </c>
      <c r="D235" s="49" t="s">
        <v>140</v>
      </c>
      <c r="E235" s="49" t="s">
        <v>71</v>
      </c>
      <c r="F235" s="49" t="s">
        <v>75</v>
      </c>
      <c r="G235" s="49" t="s">
        <v>141</v>
      </c>
      <c r="H235" s="49" t="s">
        <v>85</v>
      </c>
      <c r="I235" s="49" t="s">
        <v>83</v>
      </c>
      <c r="J235" s="49" t="s">
        <v>86</v>
      </c>
      <c r="K235" s="49">
        <v>2</v>
      </c>
      <c r="L235" s="49">
        <v>150</v>
      </c>
      <c r="M235" s="49">
        <v>0.15</v>
      </c>
      <c r="N235" s="49">
        <v>300</v>
      </c>
      <c r="O235" s="49">
        <v>255</v>
      </c>
      <c r="P235" s="49">
        <v>136.6</v>
      </c>
      <c r="Q235" s="49">
        <v>118.4</v>
      </c>
      <c r="R235" s="49">
        <v>0.46429999999999999</v>
      </c>
      <c r="S235" s="49">
        <v>0.53569999999999995</v>
      </c>
      <c r="T235" s="49">
        <v>308</v>
      </c>
      <c r="U235" s="49">
        <v>0.37390000000000001</v>
      </c>
      <c r="V235" s="49">
        <v>0</v>
      </c>
      <c r="W235" s="50">
        <v>0</v>
      </c>
      <c r="X235" s="43"/>
      <c r="Y235" s="43"/>
      <c r="Z235" s="43"/>
      <c r="AA235" s="43"/>
      <c r="AB235" s="43"/>
      <c r="AC235" s="43"/>
    </row>
    <row r="236" spans="1:29" x14ac:dyDescent="0.3">
      <c r="A236" s="43"/>
      <c r="B236" s="45" t="s">
        <v>377</v>
      </c>
      <c r="C236" s="48">
        <v>45373</v>
      </c>
      <c r="D236" s="49" t="s">
        <v>161</v>
      </c>
      <c r="E236" s="49" t="s">
        <v>68</v>
      </c>
      <c r="F236" s="49" t="s">
        <v>73</v>
      </c>
      <c r="G236" s="49" t="s">
        <v>141</v>
      </c>
      <c r="H236" s="49" t="s">
        <v>82</v>
      </c>
      <c r="I236" s="49" t="s">
        <v>83</v>
      </c>
      <c r="J236" s="49" t="s">
        <v>81</v>
      </c>
      <c r="K236" s="49">
        <v>6</v>
      </c>
      <c r="L236" s="49">
        <v>80</v>
      </c>
      <c r="M236" s="49">
        <v>0.05</v>
      </c>
      <c r="N236" s="49">
        <v>480</v>
      </c>
      <c r="O236" s="49">
        <v>456</v>
      </c>
      <c r="P236" s="49">
        <v>257.27999999999997</v>
      </c>
      <c r="Q236" s="49">
        <v>198.72</v>
      </c>
      <c r="R236" s="49">
        <v>0.43580000000000002</v>
      </c>
      <c r="S236" s="49">
        <v>0.56420000000000003</v>
      </c>
      <c r="T236" s="49">
        <v>749</v>
      </c>
      <c r="U236" s="49">
        <v>0.56999999999999995</v>
      </c>
      <c r="V236" s="49">
        <v>1</v>
      </c>
      <c r="W236" s="50">
        <v>0.16669999999999999</v>
      </c>
      <c r="X236" s="43"/>
      <c r="Y236" s="43"/>
      <c r="Z236" s="43"/>
      <c r="AA236" s="43"/>
      <c r="AB236" s="43"/>
      <c r="AC236" s="43"/>
    </row>
    <row r="237" spans="1:29" x14ac:dyDescent="0.3">
      <c r="A237" s="43"/>
      <c r="B237" s="45" t="s">
        <v>378</v>
      </c>
      <c r="C237" s="48">
        <v>45336</v>
      </c>
      <c r="D237" s="49" t="s">
        <v>143</v>
      </c>
      <c r="E237" s="49" t="s">
        <v>69</v>
      </c>
      <c r="F237" s="49" t="s">
        <v>76</v>
      </c>
      <c r="G237" s="49" t="s">
        <v>141</v>
      </c>
      <c r="H237" s="49" t="s">
        <v>84</v>
      </c>
      <c r="I237" s="49" t="s">
        <v>80</v>
      </c>
      <c r="J237" s="49" t="s">
        <v>81</v>
      </c>
      <c r="K237" s="49">
        <v>3</v>
      </c>
      <c r="L237" s="49">
        <v>500</v>
      </c>
      <c r="M237" s="49">
        <v>0.15</v>
      </c>
      <c r="N237" s="49">
        <v>1500</v>
      </c>
      <c r="O237" s="49">
        <v>1275</v>
      </c>
      <c r="P237" s="49">
        <v>804.96</v>
      </c>
      <c r="Q237" s="49">
        <v>470.04</v>
      </c>
      <c r="R237" s="49">
        <v>0.36870000000000003</v>
      </c>
      <c r="S237" s="49">
        <v>0.63129999999999997</v>
      </c>
      <c r="T237" s="49">
        <v>991</v>
      </c>
      <c r="U237" s="49">
        <v>1.4167000000000001</v>
      </c>
      <c r="V237" s="49">
        <v>0</v>
      </c>
      <c r="W237" s="50">
        <v>0</v>
      </c>
      <c r="X237" s="43"/>
      <c r="Y237" s="43"/>
      <c r="Z237" s="43"/>
      <c r="AA237" s="43"/>
      <c r="AB237" s="43"/>
      <c r="AC237" s="43"/>
    </row>
    <row r="238" spans="1:29" x14ac:dyDescent="0.3">
      <c r="A238" s="43"/>
      <c r="B238" s="45" t="s">
        <v>379</v>
      </c>
      <c r="C238" s="48">
        <v>45483</v>
      </c>
      <c r="D238" s="49" t="s">
        <v>143</v>
      </c>
      <c r="E238" s="49" t="s">
        <v>69</v>
      </c>
      <c r="F238" s="49" t="s">
        <v>76</v>
      </c>
      <c r="G238" s="49" t="s">
        <v>141</v>
      </c>
      <c r="H238" s="49" t="s">
        <v>79</v>
      </c>
      <c r="I238" s="49" t="s">
        <v>83</v>
      </c>
      <c r="J238" s="49" t="s">
        <v>81</v>
      </c>
      <c r="K238" s="49">
        <v>2</v>
      </c>
      <c r="L238" s="49">
        <v>40</v>
      </c>
      <c r="M238" s="49">
        <v>0.15</v>
      </c>
      <c r="N238" s="49">
        <v>80</v>
      </c>
      <c r="O238" s="49">
        <v>68</v>
      </c>
      <c r="P238" s="49">
        <v>39.18</v>
      </c>
      <c r="Q238" s="49">
        <v>28.82</v>
      </c>
      <c r="R238" s="49">
        <v>0.42380000000000001</v>
      </c>
      <c r="S238" s="49">
        <v>0.57620000000000005</v>
      </c>
      <c r="T238" s="49">
        <v>91</v>
      </c>
      <c r="U238" s="49">
        <v>6.7500000000000004E-2</v>
      </c>
      <c r="V238" s="49">
        <v>0</v>
      </c>
      <c r="W238" s="50">
        <v>0</v>
      </c>
      <c r="X238" s="43"/>
      <c r="Y238" s="43"/>
      <c r="Z238" s="43"/>
      <c r="AA238" s="43"/>
      <c r="AB238" s="43"/>
      <c r="AC238" s="43"/>
    </row>
    <row r="239" spans="1:29" x14ac:dyDescent="0.3">
      <c r="A239" s="43"/>
      <c r="B239" s="45" t="s">
        <v>380</v>
      </c>
      <c r="C239" s="48">
        <v>45746</v>
      </c>
      <c r="D239" s="49" t="s">
        <v>149</v>
      </c>
      <c r="E239" s="49" t="s">
        <v>70</v>
      </c>
      <c r="F239" s="49" t="s">
        <v>72</v>
      </c>
      <c r="G239" s="49" t="s">
        <v>147</v>
      </c>
      <c r="H239" s="49" t="s">
        <v>82</v>
      </c>
      <c r="I239" s="49" t="s">
        <v>80</v>
      </c>
      <c r="J239" s="49" t="s">
        <v>86</v>
      </c>
      <c r="K239" s="49">
        <v>2</v>
      </c>
      <c r="L239" s="49">
        <v>150</v>
      </c>
      <c r="M239" s="49">
        <v>0.08</v>
      </c>
      <c r="N239" s="49">
        <v>300</v>
      </c>
      <c r="O239" s="49">
        <v>276</v>
      </c>
      <c r="P239" s="49">
        <v>159.12</v>
      </c>
      <c r="Q239" s="49">
        <v>116.88</v>
      </c>
      <c r="R239" s="49">
        <v>0.42349999999999999</v>
      </c>
      <c r="S239" s="49">
        <v>0.57650000000000001</v>
      </c>
      <c r="T239" s="49">
        <v>130</v>
      </c>
      <c r="U239" s="49">
        <v>0.46</v>
      </c>
      <c r="V239" s="49">
        <v>1</v>
      </c>
      <c r="W239" s="50">
        <v>0.5</v>
      </c>
      <c r="X239" s="43"/>
      <c r="Y239" s="43"/>
      <c r="Z239" s="43"/>
      <c r="AA239" s="43"/>
      <c r="AB239" s="43"/>
      <c r="AC239" s="43"/>
    </row>
    <row r="240" spans="1:29" x14ac:dyDescent="0.3">
      <c r="A240" s="43"/>
      <c r="B240" s="45" t="s">
        <v>381</v>
      </c>
      <c r="C240" s="48">
        <v>45381</v>
      </c>
      <c r="D240" s="49" t="s">
        <v>151</v>
      </c>
      <c r="E240" s="49" t="s">
        <v>70</v>
      </c>
      <c r="F240" s="49" t="s">
        <v>76</v>
      </c>
      <c r="G240" s="49" t="s">
        <v>147</v>
      </c>
      <c r="H240" s="49" t="s">
        <v>79</v>
      </c>
      <c r="I240" s="49" t="s">
        <v>83</v>
      </c>
      <c r="J240" s="49" t="s">
        <v>81</v>
      </c>
      <c r="K240" s="49">
        <v>4</v>
      </c>
      <c r="L240" s="49">
        <v>25</v>
      </c>
      <c r="M240" s="49">
        <v>0</v>
      </c>
      <c r="N240" s="49">
        <v>100</v>
      </c>
      <c r="O240" s="49">
        <v>100</v>
      </c>
      <c r="P240" s="49">
        <v>63.51</v>
      </c>
      <c r="Q240" s="49">
        <v>36.49</v>
      </c>
      <c r="R240" s="49">
        <v>0.3649</v>
      </c>
      <c r="S240" s="49">
        <v>0.6351</v>
      </c>
      <c r="T240" s="49">
        <v>106</v>
      </c>
      <c r="U240" s="49">
        <v>0.1111</v>
      </c>
      <c r="V240" s="49">
        <v>1</v>
      </c>
      <c r="W240" s="50">
        <v>0.25</v>
      </c>
      <c r="X240" s="43"/>
      <c r="Y240" s="43"/>
      <c r="Z240" s="43"/>
      <c r="AA240" s="43"/>
      <c r="AB240" s="43"/>
      <c r="AC240" s="43"/>
    </row>
    <row r="241" spans="1:29" x14ac:dyDescent="0.3">
      <c r="A241" s="43"/>
      <c r="B241" s="45" t="s">
        <v>382</v>
      </c>
      <c r="C241" s="48">
        <v>45796</v>
      </c>
      <c r="D241" s="49" t="s">
        <v>137</v>
      </c>
      <c r="E241" s="49" t="s">
        <v>71</v>
      </c>
      <c r="F241" s="49" t="s">
        <v>76</v>
      </c>
      <c r="G241" s="49" t="s">
        <v>153</v>
      </c>
      <c r="H241" s="49" t="s">
        <v>84</v>
      </c>
      <c r="I241" s="49" t="s">
        <v>83</v>
      </c>
      <c r="J241" s="49" t="s">
        <v>81</v>
      </c>
      <c r="K241" s="49">
        <v>9</v>
      </c>
      <c r="L241" s="49">
        <v>500</v>
      </c>
      <c r="M241" s="49">
        <v>0</v>
      </c>
      <c r="N241" s="49">
        <v>4500</v>
      </c>
      <c r="O241" s="49">
        <v>4500</v>
      </c>
      <c r="P241" s="49">
        <v>2776.07</v>
      </c>
      <c r="Q241" s="49">
        <v>1723.93</v>
      </c>
      <c r="R241" s="49">
        <v>0.3831</v>
      </c>
      <c r="S241" s="49">
        <v>0.6169</v>
      </c>
      <c r="T241" s="49">
        <v>4911</v>
      </c>
      <c r="U241" s="49">
        <v>4.7618999999999998</v>
      </c>
      <c r="V241" s="49">
        <v>0</v>
      </c>
      <c r="W241" s="50">
        <v>0</v>
      </c>
      <c r="X241" s="43"/>
      <c r="Y241" s="43"/>
      <c r="Z241" s="43"/>
      <c r="AA241" s="43"/>
      <c r="AB241" s="43"/>
      <c r="AC241" s="43"/>
    </row>
    <row r="242" spans="1:29" x14ac:dyDescent="0.3">
      <c r="A242" s="43"/>
      <c r="B242" s="45" t="s">
        <v>383</v>
      </c>
      <c r="C242" s="48">
        <v>45779</v>
      </c>
      <c r="D242" s="49" t="s">
        <v>140</v>
      </c>
      <c r="E242" s="49" t="s">
        <v>71</v>
      </c>
      <c r="F242" s="49" t="s">
        <v>74</v>
      </c>
      <c r="G242" s="49" t="s">
        <v>141</v>
      </c>
      <c r="H242" s="49" t="s">
        <v>85</v>
      </c>
      <c r="I242" s="49" t="s">
        <v>80</v>
      </c>
      <c r="J242" s="49" t="s">
        <v>81</v>
      </c>
      <c r="K242" s="49">
        <v>6</v>
      </c>
      <c r="L242" s="49">
        <v>40</v>
      </c>
      <c r="M242" s="49">
        <v>0.15</v>
      </c>
      <c r="N242" s="49">
        <v>240</v>
      </c>
      <c r="O242" s="49">
        <v>204</v>
      </c>
      <c r="P242" s="49">
        <v>147.09</v>
      </c>
      <c r="Q242" s="49">
        <v>56.91</v>
      </c>
      <c r="R242" s="49">
        <v>0.27900000000000003</v>
      </c>
      <c r="S242" s="49">
        <v>0.72099999999999997</v>
      </c>
      <c r="T242" s="49">
        <v>248</v>
      </c>
      <c r="U242" s="49">
        <v>0.25890000000000002</v>
      </c>
      <c r="V242" s="49">
        <v>0</v>
      </c>
      <c r="W242" s="50">
        <v>0</v>
      </c>
      <c r="X242" s="43"/>
      <c r="Y242" s="43"/>
      <c r="Z242" s="43"/>
      <c r="AA242" s="43"/>
      <c r="AB242" s="43"/>
      <c r="AC242" s="43"/>
    </row>
    <row r="243" spans="1:29" x14ac:dyDescent="0.3">
      <c r="A243" s="43"/>
      <c r="B243" s="45" t="s">
        <v>384</v>
      </c>
      <c r="C243" s="48">
        <v>45343</v>
      </c>
      <c r="D243" s="49" t="s">
        <v>137</v>
      </c>
      <c r="E243" s="49" t="s">
        <v>71</v>
      </c>
      <c r="F243" s="49" t="s">
        <v>72</v>
      </c>
      <c r="G243" s="49" t="s">
        <v>183</v>
      </c>
      <c r="H243" s="49" t="s">
        <v>84</v>
      </c>
      <c r="I243" s="49" t="s">
        <v>80</v>
      </c>
      <c r="J243" s="49" t="s">
        <v>86</v>
      </c>
      <c r="K243" s="49">
        <v>3</v>
      </c>
      <c r="L243" s="49">
        <v>300</v>
      </c>
      <c r="M243" s="49">
        <v>0.05</v>
      </c>
      <c r="N243" s="49">
        <v>900</v>
      </c>
      <c r="O243" s="49">
        <v>855</v>
      </c>
      <c r="P243" s="49">
        <v>467.76</v>
      </c>
      <c r="Q243" s="49">
        <v>387.24</v>
      </c>
      <c r="R243" s="49">
        <v>0.45290000000000002</v>
      </c>
      <c r="S243" s="49">
        <v>0.54710000000000003</v>
      </c>
      <c r="T243" s="49">
        <v>1047</v>
      </c>
      <c r="U243" s="49">
        <v>1.425</v>
      </c>
      <c r="V243" s="49">
        <v>0</v>
      </c>
      <c r="W243" s="50">
        <v>0</v>
      </c>
      <c r="X243" s="43"/>
      <c r="Y243" s="43"/>
      <c r="Z243" s="43"/>
      <c r="AA243" s="43"/>
      <c r="AB243" s="43"/>
      <c r="AC243" s="43"/>
    </row>
    <row r="244" spans="1:29" x14ac:dyDescent="0.3">
      <c r="A244" s="43"/>
      <c r="B244" s="45" t="s">
        <v>385</v>
      </c>
      <c r="C244" s="48">
        <v>45734</v>
      </c>
      <c r="D244" s="49" t="s">
        <v>149</v>
      </c>
      <c r="E244" s="49" t="s">
        <v>70</v>
      </c>
      <c r="F244" s="49" t="s">
        <v>76</v>
      </c>
      <c r="G244" s="49" t="s">
        <v>153</v>
      </c>
      <c r="H244" s="49" t="s">
        <v>79</v>
      </c>
      <c r="I244" s="49" t="s">
        <v>83</v>
      </c>
      <c r="J244" s="49" t="s">
        <v>81</v>
      </c>
      <c r="K244" s="49">
        <v>6</v>
      </c>
      <c r="L244" s="49">
        <v>500</v>
      </c>
      <c r="M244" s="49">
        <v>0.1</v>
      </c>
      <c r="N244" s="49">
        <v>3000</v>
      </c>
      <c r="O244" s="49">
        <v>2700</v>
      </c>
      <c r="P244" s="49">
        <v>1545.58</v>
      </c>
      <c r="Q244" s="49">
        <v>1154.42</v>
      </c>
      <c r="R244" s="49">
        <v>0.42759999999999998</v>
      </c>
      <c r="S244" s="49">
        <v>0.57240000000000002</v>
      </c>
      <c r="T244" s="49">
        <v>2829</v>
      </c>
      <c r="U244" s="49">
        <v>3</v>
      </c>
      <c r="V244" s="49">
        <v>0</v>
      </c>
      <c r="W244" s="50">
        <v>0</v>
      </c>
      <c r="X244" s="43"/>
      <c r="Y244" s="43"/>
      <c r="Z244" s="43"/>
      <c r="AA244" s="43"/>
      <c r="AB244" s="43"/>
      <c r="AC244" s="43"/>
    </row>
    <row r="245" spans="1:29" x14ac:dyDescent="0.3">
      <c r="A245" s="43"/>
      <c r="B245" s="45" t="s">
        <v>386</v>
      </c>
      <c r="C245" s="48">
        <v>45686</v>
      </c>
      <c r="D245" s="49" t="s">
        <v>149</v>
      </c>
      <c r="E245" s="49" t="s">
        <v>70</v>
      </c>
      <c r="F245" s="49" t="s">
        <v>72</v>
      </c>
      <c r="G245" s="49" t="s">
        <v>141</v>
      </c>
      <c r="H245" s="49" t="s">
        <v>85</v>
      </c>
      <c r="I245" s="49" t="s">
        <v>83</v>
      </c>
      <c r="J245" s="49" t="s">
        <v>81</v>
      </c>
      <c r="K245" s="49">
        <v>4</v>
      </c>
      <c r="L245" s="49">
        <v>150</v>
      </c>
      <c r="M245" s="49">
        <v>0.1</v>
      </c>
      <c r="N245" s="49">
        <v>600</v>
      </c>
      <c r="O245" s="49">
        <v>540</v>
      </c>
      <c r="P245" s="49">
        <v>376.96</v>
      </c>
      <c r="Q245" s="49">
        <v>163.04</v>
      </c>
      <c r="R245" s="49">
        <v>0.3019</v>
      </c>
      <c r="S245" s="49">
        <v>0.69810000000000005</v>
      </c>
      <c r="T245" s="49">
        <v>652</v>
      </c>
      <c r="U245" s="49">
        <v>0.9</v>
      </c>
      <c r="V245" s="49">
        <v>1</v>
      </c>
      <c r="W245" s="50">
        <v>0.25</v>
      </c>
      <c r="X245" s="43"/>
      <c r="Y245" s="43"/>
      <c r="Z245" s="43"/>
      <c r="AA245" s="43"/>
      <c r="AB245" s="43"/>
      <c r="AC245" s="43"/>
    </row>
    <row r="246" spans="1:29" x14ac:dyDescent="0.3">
      <c r="A246" s="43"/>
      <c r="B246" s="45" t="s">
        <v>387</v>
      </c>
      <c r="C246" s="48">
        <v>45831</v>
      </c>
      <c r="D246" s="49" t="s">
        <v>161</v>
      </c>
      <c r="E246" s="49" t="s">
        <v>68</v>
      </c>
      <c r="F246" s="49" t="s">
        <v>75</v>
      </c>
      <c r="G246" s="49" t="s">
        <v>138</v>
      </c>
      <c r="H246" s="49" t="s">
        <v>84</v>
      </c>
      <c r="I246" s="49" t="s">
        <v>83</v>
      </c>
      <c r="J246" s="49" t="s">
        <v>81</v>
      </c>
      <c r="K246" s="49">
        <v>6</v>
      </c>
      <c r="L246" s="49">
        <v>150</v>
      </c>
      <c r="M246" s="49">
        <v>0.03</v>
      </c>
      <c r="N246" s="49">
        <v>900</v>
      </c>
      <c r="O246" s="49">
        <v>873</v>
      </c>
      <c r="P246" s="49">
        <v>583.07000000000005</v>
      </c>
      <c r="Q246" s="49">
        <v>289.93</v>
      </c>
      <c r="R246" s="49">
        <v>0.33210000000000001</v>
      </c>
      <c r="S246" s="49">
        <v>0.66790000000000005</v>
      </c>
      <c r="T246" s="49">
        <v>400</v>
      </c>
      <c r="U246" s="49">
        <v>1.2801</v>
      </c>
      <c r="V246" s="49">
        <v>0</v>
      </c>
      <c r="W246" s="50">
        <v>0</v>
      </c>
      <c r="X246" s="43"/>
      <c r="Y246" s="43"/>
      <c r="Z246" s="43"/>
      <c r="AA246" s="43"/>
      <c r="AB246" s="43"/>
      <c r="AC246" s="43"/>
    </row>
    <row r="247" spans="1:29" x14ac:dyDescent="0.3">
      <c r="A247" s="43"/>
      <c r="B247" s="45" t="s">
        <v>388</v>
      </c>
      <c r="C247" s="48">
        <v>45723</v>
      </c>
      <c r="D247" s="49" t="s">
        <v>149</v>
      </c>
      <c r="E247" s="49" t="s">
        <v>70</v>
      </c>
      <c r="F247" s="49" t="s">
        <v>75</v>
      </c>
      <c r="G247" s="49" t="s">
        <v>138</v>
      </c>
      <c r="H247" s="49" t="s">
        <v>85</v>
      </c>
      <c r="I247" s="49" t="s">
        <v>80</v>
      </c>
      <c r="J247" s="49" t="s">
        <v>81</v>
      </c>
      <c r="K247" s="49">
        <v>5</v>
      </c>
      <c r="L247" s="49">
        <v>200</v>
      </c>
      <c r="M247" s="49">
        <v>0.1</v>
      </c>
      <c r="N247" s="49">
        <v>1000</v>
      </c>
      <c r="O247" s="49">
        <v>900</v>
      </c>
      <c r="P247" s="49">
        <v>503.5</v>
      </c>
      <c r="Q247" s="49">
        <v>396.5</v>
      </c>
      <c r="R247" s="49">
        <v>0.44059999999999999</v>
      </c>
      <c r="S247" s="49">
        <v>0.55940000000000001</v>
      </c>
      <c r="T247" s="49">
        <v>1511</v>
      </c>
      <c r="U247" s="49">
        <v>1.3846000000000001</v>
      </c>
      <c r="V247" s="49">
        <v>0</v>
      </c>
      <c r="W247" s="50">
        <v>0</v>
      </c>
      <c r="X247" s="43"/>
      <c r="Y247" s="43"/>
      <c r="Z247" s="43"/>
      <c r="AA247" s="43"/>
      <c r="AB247" s="43"/>
      <c r="AC247" s="43"/>
    </row>
    <row r="248" spans="1:29" x14ac:dyDescent="0.3">
      <c r="A248" s="43"/>
      <c r="B248" s="45" t="s">
        <v>389</v>
      </c>
      <c r="C248" s="48">
        <v>45933</v>
      </c>
      <c r="D248" s="49" t="s">
        <v>151</v>
      </c>
      <c r="E248" s="49" t="s">
        <v>70</v>
      </c>
      <c r="F248" s="49" t="s">
        <v>75</v>
      </c>
      <c r="G248" s="49" t="s">
        <v>144</v>
      </c>
      <c r="H248" s="49" t="s">
        <v>84</v>
      </c>
      <c r="I248" s="49" t="s">
        <v>83</v>
      </c>
      <c r="J248" s="49" t="s">
        <v>81</v>
      </c>
      <c r="K248" s="49">
        <v>1</v>
      </c>
      <c r="L248" s="49">
        <v>300</v>
      </c>
      <c r="M248" s="49">
        <v>0.08</v>
      </c>
      <c r="N248" s="49">
        <v>300</v>
      </c>
      <c r="O248" s="49">
        <v>276</v>
      </c>
      <c r="P248" s="49">
        <v>183.02</v>
      </c>
      <c r="Q248" s="49">
        <v>92.98</v>
      </c>
      <c r="R248" s="49">
        <v>0.33689999999999998</v>
      </c>
      <c r="S248" s="49">
        <v>0.66310000000000002</v>
      </c>
      <c r="T248" s="49">
        <v>299</v>
      </c>
      <c r="U248" s="49">
        <v>0.3538</v>
      </c>
      <c r="V248" s="49">
        <v>0</v>
      </c>
      <c r="W248" s="50">
        <v>0</v>
      </c>
      <c r="X248" s="43"/>
      <c r="Y248" s="43"/>
      <c r="Z248" s="43"/>
      <c r="AA248" s="43"/>
      <c r="AB248" s="43"/>
      <c r="AC248" s="43"/>
    </row>
    <row r="249" spans="1:29" x14ac:dyDescent="0.3">
      <c r="A249" s="43"/>
      <c r="B249" s="45" t="s">
        <v>390</v>
      </c>
      <c r="C249" s="48">
        <v>45938</v>
      </c>
      <c r="D249" s="49" t="s">
        <v>137</v>
      </c>
      <c r="E249" s="49" t="s">
        <v>71</v>
      </c>
      <c r="F249" s="49" t="s">
        <v>76</v>
      </c>
      <c r="G249" s="49" t="s">
        <v>183</v>
      </c>
      <c r="H249" s="49" t="s">
        <v>79</v>
      </c>
      <c r="I249" s="49" t="s">
        <v>80</v>
      </c>
      <c r="J249" s="49" t="s">
        <v>81</v>
      </c>
      <c r="K249" s="49">
        <v>5</v>
      </c>
      <c r="L249" s="49">
        <v>80</v>
      </c>
      <c r="M249" s="49">
        <v>0.1</v>
      </c>
      <c r="N249" s="49">
        <v>400</v>
      </c>
      <c r="O249" s="49">
        <v>360</v>
      </c>
      <c r="P249" s="49">
        <v>255.92</v>
      </c>
      <c r="Q249" s="49">
        <v>104.08</v>
      </c>
      <c r="R249" s="49">
        <v>0.28910000000000002</v>
      </c>
      <c r="S249" s="49">
        <v>0.71089999999999998</v>
      </c>
      <c r="T249" s="49">
        <v>371</v>
      </c>
      <c r="U249" s="49">
        <v>0.33329999999999999</v>
      </c>
      <c r="V249" s="49">
        <v>0</v>
      </c>
      <c r="W249" s="50">
        <v>0</v>
      </c>
      <c r="X249" s="43"/>
      <c r="Y249" s="43"/>
      <c r="Z249" s="43"/>
      <c r="AA249" s="43"/>
      <c r="AB249" s="43"/>
      <c r="AC249" s="43"/>
    </row>
    <row r="250" spans="1:29" x14ac:dyDescent="0.3">
      <c r="A250" s="43"/>
      <c r="B250" s="45" t="s">
        <v>391</v>
      </c>
      <c r="C250" s="48">
        <v>45325</v>
      </c>
      <c r="D250" s="49" t="s">
        <v>140</v>
      </c>
      <c r="E250" s="49" t="s">
        <v>71</v>
      </c>
      <c r="F250" s="49" t="s">
        <v>74</v>
      </c>
      <c r="G250" s="49" t="s">
        <v>183</v>
      </c>
      <c r="H250" s="49" t="s">
        <v>84</v>
      </c>
      <c r="I250" s="49" t="s">
        <v>80</v>
      </c>
      <c r="J250" s="49" t="s">
        <v>81</v>
      </c>
      <c r="K250" s="49">
        <v>5</v>
      </c>
      <c r="L250" s="49">
        <v>150</v>
      </c>
      <c r="M250" s="49">
        <v>0.03</v>
      </c>
      <c r="N250" s="49">
        <v>750</v>
      </c>
      <c r="O250" s="49">
        <v>727.5</v>
      </c>
      <c r="P250" s="49">
        <v>494.98</v>
      </c>
      <c r="Q250" s="49">
        <v>232.52</v>
      </c>
      <c r="R250" s="49">
        <v>0.3196</v>
      </c>
      <c r="S250" s="49">
        <v>0.6804</v>
      </c>
      <c r="T250" s="49">
        <v>1107</v>
      </c>
      <c r="U250" s="49">
        <v>0.97</v>
      </c>
      <c r="V250" s="49">
        <v>0</v>
      </c>
      <c r="W250" s="50">
        <v>0</v>
      </c>
      <c r="X250" s="43"/>
      <c r="Y250" s="43"/>
      <c r="Z250" s="43"/>
      <c r="AA250" s="43"/>
      <c r="AB250" s="43"/>
      <c r="AC250" s="43"/>
    </row>
    <row r="251" spans="1:29" x14ac:dyDescent="0.3">
      <c r="A251" s="43"/>
      <c r="B251" s="45" t="s">
        <v>392</v>
      </c>
      <c r="C251" s="48">
        <v>45864</v>
      </c>
      <c r="D251" s="49" t="s">
        <v>151</v>
      </c>
      <c r="E251" s="49" t="s">
        <v>70</v>
      </c>
      <c r="F251" s="49" t="s">
        <v>76</v>
      </c>
      <c r="G251" s="49" t="s">
        <v>144</v>
      </c>
      <c r="H251" s="49" t="s">
        <v>85</v>
      </c>
      <c r="I251" s="49" t="s">
        <v>83</v>
      </c>
      <c r="J251" s="49" t="s">
        <v>86</v>
      </c>
      <c r="K251" s="49">
        <v>9</v>
      </c>
      <c r="L251" s="49">
        <v>40</v>
      </c>
      <c r="M251" s="49">
        <v>0</v>
      </c>
      <c r="N251" s="49">
        <v>360</v>
      </c>
      <c r="O251" s="49">
        <v>360</v>
      </c>
      <c r="P251" s="49">
        <v>228.53</v>
      </c>
      <c r="Q251" s="49">
        <v>131.47</v>
      </c>
      <c r="R251" s="49">
        <v>0.36520000000000002</v>
      </c>
      <c r="S251" s="49">
        <v>0.63480000000000003</v>
      </c>
      <c r="T251" s="49">
        <v>600</v>
      </c>
      <c r="U251" s="49">
        <v>0.35709999999999997</v>
      </c>
      <c r="V251" s="49">
        <v>0</v>
      </c>
      <c r="W251" s="50">
        <v>0</v>
      </c>
      <c r="X251" s="43"/>
      <c r="Y251" s="43"/>
      <c r="Z251" s="43"/>
      <c r="AA251" s="43"/>
      <c r="AB251" s="43"/>
      <c r="AC251" s="43"/>
    </row>
    <row r="252" spans="1:29" x14ac:dyDescent="0.3">
      <c r="A252" s="43"/>
      <c r="B252" s="45" t="s">
        <v>393</v>
      </c>
      <c r="C252" s="48">
        <v>45354</v>
      </c>
      <c r="D252" s="49" t="s">
        <v>140</v>
      </c>
      <c r="E252" s="49" t="s">
        <v>71</v>
      </c>
      <c r="F252" s="49" t="s">
        <v>74</v>
      </c>
      <c r="G252" s="49" t="s">
        <v>138</v>
      </c>
      <c r="H252" s="49" t="s">
        <v>79</v>
      </c>
      <c r="I252" s="49" t="s">
        <v>83</v>
      </c>
      <c r="J252" s="49" t="s">
        <v>81</v>
      </c>
      <c r="K252" s="49">
        <v>4</v>
      </c>
      <c r="L252" s="49">
        <v>40</v>
      </c>
      <c r="M252" s="49">
        <v>0.08</v>
      </c>
      <c r="N252" s="49">
        <v>160</v>
      </c>
      <c r="O252" s="49">
        <v>147.19999999999999</v>
      </c>
      <c r="P252" s="49">
        <v>106.58</v>
      </c>
      <c r="Q252" s="49">
        <v>40.619999999999997</v>
      </c>
      <c r="R252" s="49">
        <v>0.27600000000000002</v>
      </c>
      <c r="S252" s="49">
        <v>0.72399999999999998</v>
      </c>
      <c r="T252" s="49">
        <v>155</v>
      </c>
      <c r="U252" s="49">
        <v>0.1963</v>
      </c>
      <c r="V252" s="49">
        <v>0</v>
      </c>
      <c r="W252" s="50">
        <v>0</v>
      </c>
      <c r="X252" s="43"/>
      <c r="Y252" s="43"/>
      <c r="Z252" s="43"/>
      <c r="AA252" s="43"/>
      <c r="AB252" s="43"/>
      <c r="AC252" s="43"/>
    </row>
    <row r="253" spans="1:29" x14ac:dyDescent="0.3">
      <c r="A253" s="43"/>
      <c r="B253" s="45" t="s">
        <v>394</v>
      </c>
      <c r="C253" s="48">
        <v>45972</v>
      </c>
      <c r="D253" s="49" t="s">
        <v>161</v>
      </c>
      <c r="E253" s="49" t="s">
        <v>68</v>
      </c>
      <c r="F253" s="49" t="s">
        <v>73</v>
      </c>
      <c r="G253" s="49" t="s">
        <v>138</v>
      </c>
      <c r="H253" s="49" t="s">
        <v>84</v>
      </c>
      <c r="I253" s="49" t="s">
        <v>83</v>
      </c>
      <c r="J253" s="49" t="s">
        <v>81</v>
      </c>
      <c r="K253" s="49">
        <v>4</v>
      </c>
      <c r="L253" s="49">
        <v>750</v>
      </c>
      <c r="M253" s="49">
        <v>0.05</v>
      </c>
      <c r="N253" s="49">
        <v>3000</v>
      </c>
      <c r="O253" s="49">
        <v>2850</v>
      </c>
      <c r="P253" s="49">
        <v>1788.33</v>
      </c>
      <c r="Q253" s="49">
        <v>1061.67</v>
      </c>
      <c r="R253" s="49">
        <v>0.3725</v>
      </c>
      <c r="S253" s="49">
        <v>0.62749999999999995</v>
      </c>
      <c r="T253" s="49">
        <v>3505</v>
      </c>
      <c r="U253" s="49">
        <v>2.9687999999999999</v>
      </c>
      <c r="V253" s="49">
        <v>0</v>
      </c>
      <c r="W253" s="50">
        <v>0</v>
      </c>
      <c r="X253" s="43"/>
      <c r="Y253" s="43"/>
      <c r="Z253" s="43"/>
      <c r="AA253" s="43"/>
      <c r="AB253" s="43"/>
      <c r="AC253" s="43"/>
    </row>
    <row r="254" spans="1:29" x14ac:dyDescent="0.3">
      <c r="A254" s="43"/>
      <c r="B254" s="45" t="s">
        <v>395</v>
      </c>
      <c r="C254" s="48">
        <v>45304</v>
      </c>
      <c r="D254" s="49" t="s">
        <v>140</v>
      </c>
      <c r="E254" s="49" t="s">
        <v>71</v>
      </c>
      <c r="F254" s="49" t="s">
        <v>76</v>
      </c>
      <c r="G254" s="49" t="s">
        <v>144</v>
      </c>
      <c r="H254" s="49" t="s">
        <v>84</v>
      </c>
      <c r="I254" s="49" t="s">
        <v>83</v>
      </c>
      <c r="J254" s="49" t="s">
        <v>86</v>
      </c>
      <c r="K254" s="49">
        <v>3</v>
      </c>
      <c r="L254" s="49">
        <v>40</v>
      </c>
      <c r="M254" s="49">
        <v>0</v>
      </c>
      <c r="N254" s="49">
        <v>120</v>
      </c>
      <c r="O254" s="49">
        <v>120</v>
      </c>
      <c r="P254" s="49">
        <v>81.81</v>
      </c>
      <c r="Q254" s="49">
        <v>38.19</v>
      </c>
      <c r="R254" s="49">
        <v>0.31819999999999998</v>
      </c>
      <c r="S254" s="49">
        <v>0.68179999999999996</v>
      </c>
      <c r="T254" s="49">
        <v>146</v>
      </c>
      <c r="U254" s="49">
        <v>0.1333</v>
      </c>
      <c r="V254" s="49">
        <v>0</v>
      </c>
      <c r="W254" s="50">
        <v>0</v>
      </c>
      <c r="X254" s="43"/>
      <c r="Y254" s="43"/>
      <c r="Z254" s="43"/>
      <c r="AA254" s="43"/>
      <c r="AB254" s="43"/>
      <c r="AC254" s="43"/>
    </row>
    <row r="255" spans="1:29" x14ac:dyDescent="0.3">
      <c r="A255" s="43"/>
      <c r="B255" s="45" t="s">
        <v>396</v>
      </c>
      <c r="C255" s="48">
        <v>45694</v>
      </c>
      <c r="D255" s="49" t="s">
        <v>151</v>
      </c>
      <c r="E255" s="49" t="s">
        <v>70</v>
      </c>
      <c r="F255" s="49" t="s">
        <v>76</v>
      </c>
      <c r="G255" s="49" t="s">
        <v>153</v>
      </c>
      <c r="H255" s="49" t="s">
        <v>84</v>
      </c>
      <c r="I255" s="49" t="s">
        <v>83</v>
      </c>
      <c r="J255" s="49" t="s">
        <v>81</v>
      </c>
      <c r="K255" s="49">
        <v>3</v>
      </c>
      <c r="L255" s="49">
        <v>300</v>
      </c>
      <c r="M255" s="49">
        <v>0</v>
      </c>
      <c r="N255" s="49">
        <v>900</v>
      </c>
      <c r="O255" s="49">
        <v>900</v>
      </c>
      <c r="P255" s="49">
        <v>595.77</v>
      </c>
      <c r="Q255" s="49">
        <v>304.23</v>
      </c>
      <c r="R255" s="49">
        <v>0.33800000000000002</v>
      </c>
      <c r="S255" s="49">
        <v>0.66200000000000003</v>
      </c>
      <c r="T255" s="49">
        <v>2082</v>
      </c>
      <c r="U255" s="49">
        <v>1</v>
      </c>
      <c r="V255" s="49">
        <v>0</v>
      </c>
      <c r="W255" s="50">
        <v>0</v>
      </c>
      <c r="X255" s="43"/>
      <c r="Y255" s="43"/>
      <c r="Z255" s="43"/>
      <c r="AA255" s="43"/>
      <c r="AB255" s="43"/>
      <c r="AC255" s="43"/>
    </row>
    <row r="256" spans="1:29" x14ac:dyDescent="0.3">
      <c r="A256" s="43"/>
      <c r="B256" s="45" t="s">
        <v>397</v>
      </c>
      <c r="C256" s="48">
        <v>45312</v>
      </c>
      <c r="D256" s="49" t="s">
        <v>151</v>
      </c>
      <c r="E256" s="49" t="s">
        <v>70</v>
      </c>
      <c r="F256" s="49" t="s">
        <v>76</v>
      </c>
      <c r="G256" s="49" t="s">
        <v>141</v>
      </c>
      <c r="H256" s="49" t="s">
        <v>82</v>
      </c>
      <c r="I256" s="49" t="s">
        <v>83</v>
      </c>
      <c r="J256" s="49" t="s">
        <v>81</v>
      </c>
      <c r="K256" s="49">
        <v>3</v>
      </c>
      <c r="L256" s="49">
        <v>750</v>
      </c>
      <c r="M256" s="49">
        <v>0.03</v>
      </c>
      <c r="N256" s="49">
        <v>2250</v>
      </c>
      <c r="O256" s="49">
        <v>2182.5</v>
      </c>
      <c r="P256" s="49">
        <v>1536.7</v>
      </c>
      <c r="Q256" s="49">
        <v>645.79999999999995</v>
      </c>
      <c r="R256" s="49">
        <v>0.2959</v>
      </c>
      <c r="S256" s="49">
        <v>0.70409999999999995</v>
      </c>
      <c r="T256" s="49">
        <v>1884</v>
      </c>
      <c r="U256" s="49">
        <v>2.4249999999999998</v>
      </c>
      <c r="V256" s="49">
        <v>0</v>
      </c>
      <c r="W256" s="50">
        <v>0</v>
      </c>
      <c r="X256" s="43"/>
      <c r="Y256" s="43"/>
      <c r="Z256" s="43"/>
      <c r="AA256" s="43"/>
      <c r="AB256" s="43"/>
      <c r="AC256" s="43"/>
    </row>
    <row r="257" spans="1:29" x14ac:dyDescent="0.3">
      <c r="A257" s="43"/>
      <c r="B257" s="45" t="s">
        <v>398</v>
      </c>
      <c r="C257" s="48">
        <v>45537</v>
      </c>
      <c r="D257" s="49" t="s">
        <v>143</v>
      </c>
      <c r="E257" s="49" t="s">
        <v>69</v>
      </c>
      <c r="F257" s="49" t="s">
        <v>74</v>
      </c>
      <c r="G257" s="49" t="s">
        <v>153</v>
      </c>
      <c r="H257" s="49" t="s">
        <v>84</v>
      </c>
      <c r="I257" s="49" t="s">
        <v>83</v>
      </c>
      <c r="J257" s="49" t="s">
        <v>81</v>
      </c>
      <c r="K257" s="49">
        <v>5</v>
      </c>
      <c r="L257" s="49">
        <v>300</v>
      </c>
      <c r="M257" s="49">
        <v>0.05</v>
      </c>
      <c r="N257" s="49">
        <v>1500</v>
      </c>
      <c r="O257" s="49">
        <v>1425</v>
      </c>
      <c r="P257" s="49">
        <v>904.33</v>
      </c>
      <c r="Q257" s="49">
        <v>520.66999999999996</v>
      </c>
      <c r="R257" s="49">
        <v>0.3654</v>
      </c>
      <c r="S257" s="49">
        <v>0.63460000000000005</v>
      </c>
      <c r="T257" s="49">
        <v>1548</v>
      </c>
      <c r="U257" s="49">
        <v>1.6963999999999999</v>
      </c>
      <c r="V257" s="49">
        <v>0</v>
      </c>
      <c r="W257" s="50">
        <v>0</v>
      </c>
      <c r="X257" s="43"/>
      <c r="Y257" s="43"/>
      <c r="Z257" s="43"/>
      <c r="AA257" s="43"/>
      <c r="AB257" s="43"/>
      <c r="AC257" s="43"/>
    </row>
    <row r="258" spans="1:29" x14ac:dyDescent="0.3">
      <c r="A258" s="43"/>
      <c r="B258" s="45" t="s">
        <v>399</v>
      </c>
      <c r="C258" s="48">
        <v>45710</v>
      </c>
      <c r="D258" s="49" t="s">
        <v>137</v>
      </c>
      <c r="E258" s="49" t="s">
        <v>71</v>
      </c>
      <c r="F258" s="49" t="s">
        <v>75</v>
      </c>
      <c r="G258" s="49" t="s">
        <v>183</v>
      </c>
      <c r="H258" s="49" t="s">
        <v>79</v>
      </c>
      <c r="I258" s="49" t="s">
        <v>80</v>
      </c>
      <c r="J258" s="49" t="s">
        <v>86</v>
      </c>
      <c r="K258" s="49">
        <v>1</v>
      </c>
      <c r="L258" s="49">
        <v>150</v>
      </c>
      <c r="M258" s="49">
        <v>0</v>
      </c>
      <c r="N258" s="49">
        <v>150</v>
      </c>
      <c r="O258" s="49">
        <v>150</v>
      </c>
      <c r="P258" s="49">
        <v>89.35</v>
      </c>
      <c r="Q258" s="49">
        <v>60.65</v>
      </c>
      <c r="R258" s="49">
        <v>0.40429999999999999</v>
      </c>
      <c r="S258" s="49">
        <v>0.59570000000000001</v>
      </c>
      <c r="T258" s="49">
        <v>352</v>
      </c>
      <c r="U258" s="49">
        <v>0.23080000000000001</v>
      </c>
      <c r="V258" s="49">
        <v>0</v>
      </c>
      <c r="W258" s="50">
        <v>0</v>
      </c>
      <c r="X258" s="43"/>
      <c r="Y258" s="43"/>
      <c r="Z258" s="43"/>
      <c r="AA258" s="43"/>
      <c r="AB258" s="43"/>
      <c r="AC258" s="43"/>
    </row>
    <row r="259" spans="1:29" x14ac:dyDescent="0.3">
      <c r="A259" s="43"/>
      <c r="B259" s="45" t="s">
        <v>400</v>
      </c>
      <c r="C259" s="48">
        <v>45877</v>
      </c>
      <c r="D259" s="49" t="s">
        <v>140</v>
      </c>
      <c r="E259" s="49" t="s">
        <v>71</v>
      </c>
      <c r="F259" s="49" t="s">
        <v>76</v>
      </c>
      <c r="G259" s="49" t="s">
        <v>144</v>
      </c>
      <c r="H259" s="49" t="s">
        <v>84</v>
      </c>
      <c r="I259" s="49" t="s">
        <v>80</v>
      </c>
      <c r="J259" s="49" t="s">
        <v>81</v>
      </c>
      <c r="K259" s="49">
        <v>3</v>
      </c>
      <c r="L259" s="49">
        <v>60</v>
      </c>
      <c r="M259" s="49">
        <v>0.08</v>
      </c>
      <c r="N259" s="49">
        <v>180</v>
      </c>
      <c r="O259" s="49">
        <v>165.6</v>
      </c>
      <c r="P259" s="49">
        <v>124.59</v>
      </c>
      <c r="Q259" s="49">
        <v>41.01</v>
      </c>
      <c r="R259" s="49">
        <v>0.24759999999999999</v>
      </c>
      <c r="S259" s="49">
        <v>0.75239999999999996</v>
      </c>
      <c r="T259" s="49">
        <v>131</v>
      </c>
      <c r="U259" s="49">
        <v>0.1643</v>
      </c>
      <c r="V259" s="49">
        <v>0</v>
      </c>
      <c r="W259" s="50">
        <v>0</v>
      </c>
      <c r="X259" s="43"/>
      <c r="Y259" s="43"/>
      <c r="Z259" s="43"/>
      <c r="AA259" s="43"/>
      <c r="AB259" s="43"/>
      <c r="AC259" s="43"/>
    </row>
    <row r="260" spans="1:29" x14ac:dyDescent="0.3">
      <c r="A260" s="43"/>
      <c r="B260" s="45" t="s">
        <v>401</v>
      </c>
      <c r="C260" s="48">
        <v>45954</v>
      </c>
      <c r="D260" s="49" t="s">
        <v>143</v>
      </c>
      <c r="E260" s="49" t="s">
        <v>69</v>
      </c>
      <c r="F260" s="49" t="s">
        <v>76</v>
      </c>
      <c r="G260" s="49" t="s">
        <v>153</v>
      </c>
      <c r="H260" s="49" t="s">
        <v>79</v>
      </c>
      <c r="I260" s="49" t="s">
        <v>83</v>
      </c>
      <c r="J260" s="49" t="s">
        <v>81</v>
      </c>
      <c r="K260" s="49">
        <v>3</v>
      </c>
      <c r="L260" s="49">
        <v>60</v>
      </c>
      <c r="M260" s="49">
        <v>0.15</v>
      </c>
      <c r="N260" s="49">
        <v>180</v>
      </c>
      <c r="O260" s="49">
        <v>153</v>
      </c>
      <c r="P260" s="49">
        <v>97.78</v>
      </c>
      <c r="Q260" s="49">
        <v>55.22</v>
      </c>
      <c r="R260" s="49">
        <v>0.3609</v>
      </c>
      <c r="S260" s="49">
        <v>0.6391</v>
      </c>
      <c r="T260" s="49">
        <v>70</v>
      </c>
      <c r="U260" s="49">
        <v>0.14169999999999999</v>
      </c>
      <c r="V260" s="49">
        <v>1</v>
      </c>
      <c r="W260" s="50">
        <v>0.33329999999999999</v>
      </c>
      <c r="X260" s="43"/>
      <c r="Y260" s="43"/>
      <c r="Z260" s="43"/>
      <c r="AA260" s="43"/>
      <c r="AB260" s="43"/>
      <c r="AC260" s="43"/>
    </row>
    <row r="261" spans="1:29" x14ac:dyDescent="0.3">
      <c r="A261" s="43"/>
      <c r="B261" s="45" t="s">
        <v>402</v>
      </c>
      <c r="C261" s="48">
        <v>45371</v>
      </c>
      <c r="D261" s="49" t="s">
        <v>143</v>
      </c>
      <c r="E261" s="49" t="s">
        <v>69</v>
      </c>
      <c r="F261" s="49" t="s">
        <v>72</v>
      </c>
      <c r="G261" s="49" t="s">
        <v>141</v>
      </c>
      <c r="H261" s="49" t="s">
        <v>85</v>
      </c>
      <c r="I261" s="49" t="s">
        <v>80</v>
      </c>
      <c r="J261" s="49" t="s">
        <v>81</v>
      </c>
      <c r="K261" s="49">
        <v>1</v>
      </c>
      <c r="L261" s="49">
        <v>80</v>
      </c>
      <c r="M261" s="49">
        <v>0.03</v>
      </c>
      <c r="N261" s="49">
        <v>80</v>
      </c>
      <c r="O261" s="49">
        <v>77.599999999999994</v>
      </c>
      <c r="P261" s="49">
        <v>42.6</v>
      </c>
      <c r="Q261" s="49">
        <v>35</v>
      </c>
      <c r="R261" s="49">
        <v>0.45100000000000001</v>
      </c>
      <c r="S261" s="49">
        <v>0.54900000000000004</v>
      </c>
      <c r="T261" s="49">
        <v>91</v>
      </c>
      <c r="U261" s="49">
        <v>0.1293</v>
      </c>
      <c r="V261" s="49">
        <v>0</v>
      </c>
      <c r="W261" s="50">
        <v>0</v>
      </c>
      <c r="X261" s="43"/>
      <c r="Y261" s="43"/>
      <c r="Z261" s="43"/>
      <c r="AA261" s="43"/>
      <c r="AB261" s="43"/>
      <c r="AC261" s="43"/>
    </row>
    <row r="262" spans="1:29" x14ac:dyDescent="0.3">
      <c r="A262" s="43"/>
      <c r="B262" s="45" t="s">
        <v>403</v>
      </c>
      <c r="C262" s="48">
        <v>45910</v>
      </c>
      <c r="D262" s="49" t="s">
        <v>140</v>
      </c>
      <c r="E262" s="49" t="s">
        <v>71</v>
      </c>
      <c r="F262" s="49" t="s">
        <v>75</v>
      </c>
      <c r="G262" s="49" t="s">
        <v>144</v>
      </c>
      <c r="H262" s="49" t="s">
        <v>84</v>
      </c>
      <c r="I262" s="49" t="s">
        <v>83</v>
      </c>
      <c r="J262" s="49" t="s">
        <v>81</v>
      </c>
      <c r="K262" s="49">
        <v>4</v>
      </c>
      <c r="L262" s="49">
        <v>300</v>
      </c>
      <c r="M262" s="49">
        <v>0.05</v>
      </c>
      <c r="N262" s="49">
        <v>1200</v>
      </c>
      <c r="O262" s="49">
        <v>1140</v>
      </c>
      <c r="P262" s="49">
        <v>536.05999999999995</v>
      </c>
      <c r="Q262" s="49">
        <v>603.94000000000005</v>
      </c>
      <c r="R262" s="49">
        <v>0.52980000000000005</v>
      </c>
      <c r="S262" s="49">
        <v>0.47020000000000001</v>
      </c>
      <c r="T262" s="49">
        <v>1381</v>
      </c>
      <c r="U262" s="49">
        <v>1.5659000000000001</v>
      </c>
      <c r="V262" s="49">
        <v>0</v>
      </c>
      <c r="W262" s="50">
        <v>0</v>
      </c>
      <c r="X262" s="43"/>
      <c r="Y262" s="43"/>
      <c r="Z262" s="43"/>
      <c r="AA262" s="43"/>
      <c r="AB262" s="43"/>
      <c r="AC262" s="43"/>
    </row>
    <row r="263" spans="1:29" x14ac:dyDescent="0.3">
      <c r="A263" s="43"/>
      <c r="B263" s="45" t="s">
        <v>404</v>
      </c>
      <c r="C263" s="48">
        <v>45333</v>
      </c>
      <c r="D263" s="49" t="s">
        <v>140</v>
      </c>
      <c r="E263" s="49" t="s">
        <v>71</v>
      </c>
      <c r="F263" s="49" t="s">
        <v>76</v>
      </c>
      <c r="G263" s="49" t="s">
        <v>183</v>
      </c>
      <c r="H263" s="49" t="s">
        <v>82</v>
      </c>
      <c r="I263" s="49" t="s">
        <v>80</v>
      </c>
      <c r="J263" s="49" t="s">
        <v>86</v>
      </c>
      <c r="K263" s="49">
        <v>5</v>
      </c>
      <c r="L263" s="49">
        <v>40</v>
      </c>
      <c r="M263" s="49">
        <v>0.05</v>
      </c>
      <c r="N263" s="49">
        <v>200</v>
      </c>
      <c r="O263" s="49">
        <v>190</v>
      </c>
      <c r="P263" s="49">
        <v>108.83</v>
      </c>
      <c r="Q263" s="49">
        <v>81.17</v>
      </c>
      <c r="R263" s="49">
        <v>0.42720000000000002</v>
      </c>
      <c r="S263" s="49">
        <v>0.57279999999999998</v>
      </c>
      <c r="T263" s="49">
        <v>319</v>
      </c>
      <c r="U263" s="49">
        <v>0.21110000000000001</v>
      </c>
      <c r="V263" s="49">
        <v>0</v>
      </c>
      <c r="W263" s="50">
        <v>0</v>
      </c>
      <c r="X263" s="43"/>
      <c r="Y263" s="43"/>
      <c r="Z263" s="43"/>
      <c r="AA263" s="43"/>
      <c r="AB263" s="43"/>
      <c r="AC263" s="43"/>
    </row>
    <row r="264" spans="1:29" x14ac:dyDescent="0.3">
      <c r="A264" s="43"/>
      <c r="B264" s="45" t="s">
        <v>405</v>
      </c>
      <c r="C264" s="48">
        <v>45891</v>
      </c>
      <c r="D264" s="49" t="s">
        <v>143</v>
      </c>
      <c r="E264" s="49" t="s">
        <v>69</v>
      </c>
      <c r="F264" s="49" t="s">
        <v>74</v>
      </c>
      <c r="G264" s="49" t="s">
        <v>147</v>
      </c>
      <c r="H264" s="49" t="s">
        <v>79</v>
      </c>
      <c r="I264" s="49" t="s">
        <v>80</v>
      </c>
      <c r="J264" s="49" t="s">
        <v>81</v>
      </c>
      <c r="K264" s="49">
        <v>7</v>
      </c>
      <c r="L264" s="49">
        <v>150</v>
      </c>
      <c r="M264" s="49">
        <v>0.05</v>
      </c>
      <c r="N264" s="49">
        <v>1050</v>
      </c>
      <c r="O264" s="49">
        <v>997.5</v>
      </c>
      <c r="P264" s="49">
        <v>607.61</v>
      </c>
      <c r="Q264" s="49">
        <v>389.89</v>
      </c>
      <c r="R264" s="49">
        <v>0.39090000000000003</v>
      </c>
      <c r="S264" s="49">
        <v>0.60909999999999997</v>
      </c>
      <c r="T264" s="49">
        <v>583</v>
      </c>
      <c r="U264" s="49">
        <v>1.1875</v>
      </c>
      <c r="V264" s="49">
        <v>0</v>
      </c>
      <c r="W264" s="50">
        <v>0</v>
      </c>
      <c r="X264" s="43"/>
      <c r="Y264" s="43"/>
      <c r="Z264" s="43"/>
      <c r="AA264" s="43"/>
      <c r="AB264" s="43"/>
      <c r="AC264" s="43"/>
    </row>
    <row r="265" spans="1:29" x14ac:dyDescent="0.3">
      <c r="A265" s="43"/>
      <c r="B265" s="45" t="s">
        <v>406</v>
      </c>
      <c r="C265" s="48">
        <v>45319</v>
      </c>
      <c r="D265" s="49" t="s">
        <v>140</v>
      </c>
      <c r="E265" s="49" t="s">
        <v>71</v>
      </c>
      <c r="F265" s="49" t="s">
        <v>73</v>
      </c>
      <c r="G265" s="49" t="s">
        <v>183</v>
      </c>
      <c r="H265" s="49" t="s">
        <v>85</v>
      </c>
      <c r="I265" s="49" t="s">
        <v>83</v>
      </c>
      <c r="J265" s="49" t="s">
        <v>81</v>
      </c>
      <c r="K265" s="49">
        <v>7</v>
      </c>
      <c r="L265" s="49">
        <v>60</v>
      </c>
      <c r="M265" s="49">
        <v>0</v>
      </c>
      <c r="N265" s="49">
        <v>420</v>
      </c>
      <c r="O265" s="49">
        <v>420</v>
      </c>
      <c r="P265" s="49">
        <v>277.2</v>
      </c>
      <c r="Q265" s="49">
        <v>142.80000000000001</v>
      </c>
      <c r="R265" s="49">
        <v>0.34</v>
      </c>
      <c r="S265" s="49">
        <v>0.66</v>
      </c>
      <c r="T265" s="49">
        <v>488</v>
      </c>
      <c r="U265" s="49">
        <v>0.52500000000000002</v>
      </c>
      <c r="V265" s="49">
        <v>0</v>
      </c>
      <c r="W265" s="50">
        <v>0</v>
      </c>
      <c r="X265" s="43"/>
      <c r="Y265" s="43"/>
      <c r="Z265" s="43"/>
      <c r="AA265" s="43"/>
      <c r="AB265" s="43"/>
      <c r="AC265" s="43"/>
    </row>
    <row r="266" spans="1:29" x14ac:dyDescent="0.3">
      <c r="A266" s="43"/>
      <c r="B266" s="45" t="s">
        <v>407</v>
      </c>
      <c r="C266" s="48">
        <v>45360</v>
      </c>
      <c r="D266" s="49" t="s">
        <v>149</v>
      </c>
      <c r="E266" s="49" t="s">
        <v>70</v>
      </c>
      <c r="F266" s="49" t="s">
        <v>76</v>
      </c>
      <c r="G266" s="49" t="s">
        <v>138</v>
      </c>
      <c r="H266" s="49" t="s">
        <v>84</v>
      </c>
      <c r="I266" s="49" t="s">
        <v>83</v>
      </c>
      <c r="J266" s="49" t="s">
        <v>86</v>
      </c>
      <c r="K266" s="49">
        <v>2</v>
      </c>
      <c r="L266" s="49">
        <v>500</v>
      </c>
      <c r="M266" s="49">
        <v>0.05</v>
      </c>
      <c r="N266" s="49">
        <v>1000</v>
      </c>
      <c r="O266" s="49">
        <v>950</v>
      </c>
      <c r="P266" s="49">
        <v>518.39</v>
      </c>
      <c r="Q266" s="49">
        <v>431.61</v>
      </c>
      <c r="R266" s="49">
        <v>0.45429999999999998</v>
      </c>
      <c r="S266" s="49">
        <v>0.54569999999999996</v>
      </c>
      <c r="T266" s="49">
        <v>1026</v>
      </c>
      <c r="U266" s="49">
        <v>1.0556000000000001</v>
      </c>
      <c r="V266" s="49">
        <v>0</v>
      </c>
      <c r="W266" s="50">
        <v>0</v>
      </c>
      <c r="X266" s="43"/>
      <c r="Y266" s="43"/>
      <c r="Z266" s="43"/>
      <c r="AA266" s="43"/>
      <c r="AB266" s="43"/>
      <c r="AC266" s="43"/>
    </row>
    <row r="267" spans="1:29" x14ac:dyDescent="0.3">
      <c r="A267" s="43"/>
      <c r="B267" s="45" t="s">
        <v>408</v>
      </c>
      <c r="C267" s="48">
        <v>45337</v>
      </c>
      <c r="D267" s="49" t="s">
        <v>151</v>
      </c>
      <c r="E267" s="49" t="s">
        <v>70</v>
      </c>
      <c r="F267" s="49" t="s">
        <v>74</v>
      </c>
      <c r="G267" s="49" t="s">
        <v>153</v>
      </c>
      <c r="H267" s="49" t="s">
        <v>82</v>
      </c>
      <c r="I267" s="49" t="s">
        <v>80</v>
      </c>
      <c r="J267" s="49" t="s">
        <v>81</v>
      </c>
      <c r="K267" s="49">
        <v>1</v>
      </c>
      <c r="L267" s="49">
        <v>40</v>
      </c>
      <c r="M267" s="49">
        <v>0</v>
      </c>
      <c r="N267" s="49">
        <v>40</v>
      </c>
      <c r="O267" s="49">
        <v>40</v>
      </c>
      <c r="P267" s="49">
        <v>27.5</v>
      </c>
      <c r="Q267" s="49">
        <v>12.5</v>
      </c>
      <c r="R267" s="49">
        <v>0.3125</v>
      </c>
      <c r="S267" s="49">
        <v>0.6875</v>
      </c>
      <c r="T267" s="49">
        <v>49</v>
      </c>
      <c r="U267" s="49">
        <v>5.33E-2</v>
      </c>
      <c r="V267" s="49">
        <v>0</v>
      </c>
      <c r="W267" s="50">
        <v>0</v>
      </c>
      <c r="X267" s="43"/>
      <c r="Y267" s="43"/>
      <c r="Z267" s="43"/>
      <c r="AA267" s="43"/>
      <c r="AB267" s="43"/>
      <c r="AC267" s="43"/>
    </row>
    <row r="268" spans="1:29" x14ac:dyDescent="0.3">
      <c r="A268" s="43"/>
      <c r="B268" s="45" t="s">
        <v>409</v>
      </c>
      <c r="C268" s="48">
        <v>45321</v>
      </c>
      <c r="D268" s="49" t="s">
        <v>151</v>
      </c>
      <c r="E268" s="49" t="s">
        <v>70</v>
      </c>
      <c r="F268" s="49" t="s">
        <v>76</v>
      </c>
      <c r="G268" s="49" t="s">
        <v>138</v>
      </c>
      <c r="H268" s="49" t="s">
        <v>82</v>
      </c>
      <c r="I268" s="49" t="s">
        <v>83</v>
      </c>
      <c r="J268" s="49" t="s">
        <v>81</v>
      </c>
      <c r="K268" s="49">
        <v>2</v>
      </c>
      <c r="L268" s="49">
        <v>100</v>
      </c>
      <c r="M268" s="49">
        <v>0.05</v>
      </c>
      <c r="N268" s="49">
        <v>200</v>
      </c>
      <c r="O268" s="49">
        <v>190</v>
      </c>
      <c r="P268" s="49">
        <v>126.16</v>
      </c>
      <c r="Q268" s="49">
        <v>63.84</v>
      </c>
      <c r="R268" s="49">
        <v>0.33600000000000002</v>
      </c>
      <c r="S268" s="49">
        <v>0.66400000000000003</v>
      </c>
      <c r="T268" s="49">
        <v>151</v>
      </c>
      <c r="U268" s="49">
        <v>0.21110000000000001</v>
      </c>
      <c r="V268" s="49">
        <v>0</v>
      </c>
      <c r="W268" s="50">
        <v>0</v>
      </c>
      <c r="X268" s="43"/>
      <c r="Y268" s="43"/>
      <c r="Z268" s="43"/>
      <c r="AA268" s="43"/>
      <c r="AB268" s="43"/>
      <c r="AC268" s="43"/>
    </row>
    <row r="269" spans="1:29" x14ac:dyDescent="0.3">
      <c r="A269" s="43"/>
      <c r="B269" s="45" t="s">
        <v>410</v>
      </c>
      <c r="C269" s="48">
        <v>45513</v>
      </c>
      <c r="D269" s="49" t="s">
        <v>143</v>
      </c>
      <c r="E269" s="49" t="s">
        <v>69</v>
      </c>
      <c r="F269" s="49" t="s">
        <v>73</v>
      </c>
      <c r="G269" s="49" t="s">
        <v>138</v>
      </c>
      <c r="H269" s="49" t="s">
        <v>84</v>
      </c>
      <c r="I269" s="49" t="s">
        <v>83</v>
      </c>
      <c r="J269" s="49" t="s">
        <v>81</v>
      </c>
      <c r="K269" s="49">
        <v>2</v>
      </c>
      <c r="L269" s="49">
        <v>25</v>
      </c>
      <c r="M269" s="49">
        <v>0.03</v>
      </c>
      <c r="N269" s="49">
        <v>50</v>
      </c>
      <c r="O269" s="49">
        <v>48.5</v>
      </c>
      <c r="P269" s="49">
        <v>39.770000000000003</v>
      </c>
      <c r="Q269" s="49">
        <v>8.73</v>
      </c>
      <c r="R269" s="49">
        <v>0.18</v>
      </c>
      <c r="S269" s="49">
        <v>0.82</v>
      </c>
      <c r="T269" s="49">
        <v>51</v>
      </c>
      <c r="U269" s="49">
        <v>5.4100000000000002E-2</v>
      </c>
      <c r="V269" s="49">
        <v>1</v>
      </c>
      <c r="W269" s="50">
        <v>0.5</v>
      </c>
      <c r="X269" s="43"/>
      <c r="Y269" s="43"/>
      <c r="Z269" s="43"/>
      <c r="AA269" s="43"/>
      <c r="AB269" s="43"/>
      <c r="AC269" s="43"/>
    </row>
    <row r="270" spans="1:29" x14ac:dyDescent="0.3">
      <c r="A270" s="43"/>
      <c r="B270" s="45" t="s">
        <v>411</v>
      </c>
      <c r="C270" s="48">
        <v>45347</v>
      </c>
      <c r="D270" s="49" t="s">
        <v>143</v>
      </c>
      <c r="E270" s="49" t="s">
        <v>69</v>
      </c>
      <c r="F270" s="49" t="s">
        <v>74</v>
      </c>
      <c r="G270" s="49" t="s">
        <v>147</v>
      </c>
      <c r="H270" s="49" t="s">
        <v>84</v>
      </c>
      <c r="I270" s="49" t="s">
        <v>80</v>
      </c>
      <c r="J270" s="49" t="s">
        <v>86</v>
      </c>
      <c r="K270" s="49">
        <v>2</v>
      </c>
      <c r="L270" s="49">
        <v>25</v>
      </c>
      <c r="M270" s="49">
        <v>0</v>
      </c>
      <c r="N270" s="49">
        <v>50</v>
      </c>
      <c r="O270" s="49">
        <v>50</v>
      </c>
      <c r="P270" s="49">
        <v>36.33</v>
      </c>
      <c r="Q270" s="49">
        <v>13.67</v>
      </c>
      <c r="R270" s="49">
        <v>0.27339999999999998</v>
      </c>
      <c r="S270" s="49">
        <v>0.72660000000000002</v>
      </c>
      <c r="T270" s="49">
        <v>61</v>
      </c>
      <c r="U270" s="49">
        <v>6.6699999999999995E-2</v>
      </c>
      <c r="V270" s="49">
        <v>0</v>
      </c>
      <c r="W270" s="50">
        <v>0</v>
      </c>
      <c r="X270" s="43"/>
      <c r="Y270" s="43"/>
      <c r="Z270" s="43"/>
      <c r="AA270" s="43"/>
      <c r="AB270" s="43"/>
      <c r="AC270" s="43"/>
    </row>
    <row r="271" spans="1:29" x14ac:dyDescent="0.3">
      <c r="A271" s="43"/>
      <c r="B271" s="45" t="s">
        <v>412</v>
      </c>
      <c r="C271" s="48">
        <v>45955</v>
      </c>
      <c r="D271" s="49" t="s">
        <v>143</v>
      </c>
      <c r="E271" s="49" t="s">
        <v>69</v>
      </c>
      <c r="F271" s="49" t="s">
        <v>76</v>
      </c>
      <c r="G271" s="49" t="s">
        <v>138</v>
      </c>
      <c r="H271" s="49" t="s">
        <v>82</v>
      </c>
      <c r="I271" s="49" t="s">
        <v>83</v>
      </c>
      <c r="J271" s="49" t="s">
        <v>81</v>
      </c>
      <c r="K271" s="49">
        <v>6</v>
      </c>
      <c r="L271" s="49">
        <v>100</v>
      </c>
      <c r="M271" s="49">
        <v>0</v>
      </c>
      <c r="N271" s="49">
        <v>600</v>
      </c>
      <c r="O271" s="49">
        <v>600</v>
      </c>
      <c r="P271" s="49">
        <v>421.18</v>
      </c>
      <c r="Q271" s="49">
        <v>178.82</v>
      </c>
      <c r="R271" s="49">
        <v>0.29799999999999999</v>
      </c>
      <c r="S271" s="49">
        <v>0.70199999999999996</v>
      </c>
      <c r="T271" s="49">
        <v>642</v>
      </c>
      <c r="U271" s="49">
        <v>0.55559999999999998</v>
      </c>
      <c r="V271" s="49">
        <v>0</v>
      </c>
      <c r="W271" s="50">
        <v>0</v>
      </c>
      <c r="X271" s="43"/>
      <c r="Y271" s="43"/>
      <c r="Z271" s="43"/>
      <c r="AA271" s="43"/>
      <c r="AB271" s="43"/>
      <c r="AC271" s="43"/>
    </row>
    <row r="272" spans="1:29" x14ac:dyDescent="0.3">
      <c r="A272" s="43"/>
      <c r="B272" s="45" t="s">
        <v>413</v>
      </c>
      <c r="C272" s="48">
        <v>45704</v>
      </c>
      <c r="D272" s="49" t="s">
        <v>161</v>
      </c>
      <c r="E272" s="49" t="s">
        <v>68</v>
      </c>
      <c r="F272" s="49" t="s">
        <v>72</v>
      </c>
      <c r="G272" s="49" t="s">
        <v>138</v>
      </c>
      <c r="H272" s="49" t="s">
        <v>85</v>
      </c>
      <c r="I272" s="49" t="s">
        <v>80</v>
      </c>
      <c r="J272" s="49" t="s">
        <v>81</v>
      </c>
      <c r="K272" s="49">
        <v>4</v>
      </c>
      <c r="L272" s="49">
        <v>100</v>
      </c>
      <c r="M272" s="49">
        <v>0.1</v>
      </c>
      <c r="N272" s="49">
        <v>400</v>
      </c>
      <c r="O272" s="49">
        <v>360</v>
      </c>
      <c r="P272" s="49">
        <v>186.59</v>
      </c>
      <c r="Q272" s="49">
        <v>173.41</v>
      </c>
      <c r="R272" s="49">
        <v>0.48170000000000002</v>
      </c>
      <c r="S272" s="49">
        <v>0.51829999999999998</v>
      </c>
      <c r="T272" s="49">
        <v>211</v>
      </c>
      <c r="U272" s="49">
        <v>0.6</v>
      </c>
      <c r="V272" s="49">
        <v>0</v>
      </c>
      <c r="W272" s="50">
        <v>0</v>
      </c>
      <c r="X272" s="43"/>
      <c r="Y272" s="43"/>
      <c r="Z272" s="43"/>
      <c r="AA272" s="43"/>
      <c r="AB272" s="43"/>
      <c r="AC272" s="43"/>
    </row>
    <row r="273" spans="1:29" x14ac:dyDescent="0.3">
      <c r="A273" s="43"/>
      <c r="B273" s="45" t="s">
        <v>414</v>
      </c>
      <c r="C273" s="48">
        <v>45442</v>
      </c>
      <c r="D273" s="49" t="s">
        <v>137</v>
      </c>
      <c r="E273" s="49" t="s">
        <v>71</v>
      </c>
      <c r="F273" s="49" t="s">
        <v>73</v>
      </c>
      <c r="G273" s="49" t="s">
        <v>183</v>
      </c>
      <c r="H273" s="49" t="s">
        <v>84</v>
      </c>
      <c r="I273" s="49" t="s">
        <v>80</v>
      </c>
      <c r="J273" s="49" t="s">
        <v>86</v>
      </c>
      <c r="K273" s="49">
        <v>5</v>
      </c>
      <c r="L273" s="49">
        <v>200</v>
      </c>
      <c r="M273" s="49">
        <v>0.08</v>
      </c>
      <c r="N273" s="49">
        <v>1000</v>
      </c>
      <c r="O273" s="49">
        <v>920</v>
      </c>
      <c r="P273" s="49">
        <v>597.20000000000005</v>
      </c>
      <c r="Q273" s="49">
        <v>322.8</v>
      </c>
      <c r="R273" s="49">
        <v>0.35089999999999999</v>
      </c>
      <c r="S273" s="49">
        <v>0.64910000000000001</v>
      </c>
      <c r="T273" s="49">
        <v>424</v>
      </c>
      <c r="U273" s="49">
        <v>1.0952</v>
      </c>
      <c r="V273" s="49">
        <v>0</v>
      </c>
      <c r="W273" s="50">
        <v>0</v>
      </c>
      <c r="X273" s="43"/>
      <c r="Y273" s="43"/>
      <c r="Z273" s="43"/>
      <c r="AA273" s="43"/>
      <c r="AB273" s="43"/>
      <c r="AC273" s="43"/>
    </row>
    <row r="274" spans="1:29" x14ac:dyDescent="0.3">
      <c r="A274" s="43"/>
      <c r="B274" s="45" t="s">
        <v>415</v>
      </c>
      <c r="C274" s="48">
        <v>45317</v>
      </c>
      <c r="D274" s="49" t="s">
        <v>137</v>
      </c>
      <c r="E274" s="49" t="s">
        <v>71</v>
      </c>
      <c r="F274" s="49" t="s">
        <v>76</v>
      </c>
      <c r="G274" s="49" t="s">
        <v>138</v>
      </c>
      <c r="H274" s="49" t="s">
        <v>82</v>
      </c>
      <c r="I274" s="49" t="s">
        <v>80</v>
      </c>
      <c r="J274" s="49" t="s">
        <v>81</v>
      </c>
      <c r="K274" s="49">
        <v>1</v>
      </c>
      <c r="L274" s="49">
        <v>750</v>
      </c>
      <c r="M274" s="49">
        <v>0.08</v>
      </c>
      <c r="N274" s="49">
        <v>750</v>
      </c>
      <c r="O274" s="49">
        <v>690</v>
      </c>
      <c r="P274" s="49">
        <v>488.43</v>
      </c>
      <c r="Q274" s="49">
        <v>201.57</v>
      </c>
      <c r="R274" s="49">
        <v>0.29210000000000003</v>
      </c>
      <c r="S274" s="49">
        <v>0.70789999999999997</v>
      </c>
      <c r="T274" s="49">
        <v>591</v>
      </c>
      <c r="U274" s="49">
        <v>0.76670000000000005</v>
      </c>
      <c r="V274" s="49">
        <v>0</v>
      </c>
      <c r="W274" s="50">
        <v>0</v>
      </c>
      <c r="X274" s="43"/>
      <c r="Y274" s="43"/>
      <c r="Z274" s="43"/>
      <c r="AA274" s="43"/>
      <c r="AB274" s="43"/>
      <c r="AC274" s="43"/>
    </row>
    <row r="275" spans="1:29" x14ac:dyDescent="0.3">
      <c r="A275" s="43"/>
      <c r="B275" s="45" t="s">
        <v>416</v>
      </c>
      <c r="C275" s="48">
        <v>45714</v>
      </c>
      <c r="D275" s="49" t="s">
        <v>137</v>
      </c>
      <c r="E275" s="49" t="s">
        <v>71</v>
      </c>
      <c r="F275" s="49" t="s">
        <v>76</v>
      </c>
      <c r="G275" s="49" t="s">
        <v>144</v>
      </c>
      <c r="H275" s="49" t="s">
        <v>79</v>
      </c>
      <c r="I275" s="49" t="s">
        <v>80</v>
      </c>
      <c r="J275" s="49" t="s">
        <v>81</v>
      </c>
      <c r="K275" s="49">
        <v>3</v>
      </c>
      <c r="L275" s="49">
        <v>300</v>
      </c>
      <c r="M275" s="49">
        <v>0.05</v>
      </c>
      <c r="N275" s="49">
        <v>900</v>
      </c>
      <c r="O275" s="49">
        <v>855</v>
      </c>
      <c r="P275" s="49">
        <v>483.62</v>
      </c>
      <c r="Q275" s="49">
        <v>371.38</v>
      </c>
      <c r="R275" s="49">
        <v>0.43440000000000001</v>
      </c>
      <c r="S275" s="49">
        <v>0.56559999999999999</v>
      </c>
      <c r="T275" s="49">
        <v>995</v>
      </c>
      <c r="U275" s="49">
        <v>0.95</v>
      </c>
      <c r="V275" s="49">
        <v>0</v>
      </c>
      <c r="W275" s="50">
        <v>0</v>
      </c>
      <c r="X275" s="43"/>
      <c r="Y275" s="43"/>
      <c r="Z275" s="43"/>
      <c r="AA275" s="43"/>
      <c r="AB275" s="43"/>
      <c r="AC275" s="43"/>
    </row>
    <row r="276" spans="1:29" x14ac:dyDescent="0.3">
      <c r="A276" s="43"/>
      <c r="B276" s="45" t="s">
        <v>417</v>
      </c>
      <c r="C276" s="48">
        <v>45578</v>
      </c>
      <c r="D276" s="49" t="s">
        <v>137</v>
      </c>
      <c r="E276" s="49" t="s">
        <v>71</v>
      </c>
      <c r="F276" s="49" t="s">
        <v>76</v>
      </c>
      <c r="G276" s="49" t="s">
        <v>183</v>
      </c>
      <c r="H276" s="49" t="s">
        <v>79</v>
      </c>
      <c r="I276" s="49" t="s">
        <v>80</v>
      </c>
      <c r="J276" s="49" t="s">
        <v>81</v>
      </c>
      <c r="K276" s="49">
        <v>4</v>
      </c>
      <c r="L276" s="49">
        <v>100</v>
      </c>
      <c r="M276" s="49">
        <v>0.05</v>
      </c>
      <c r="N276" s="49">
        <v>400</v>
      </c>
      <c r="O276" s="49">
        <v>380</v>
      </c>
      <c r="P276" s="49">
        <v>286.48</v>
      </c>
      <c r="Q276" s="49">
        <v>93.52</v>
      </c>
      <c r="R276" s="49">
        <v>0.24610000000000001</v>
      </c>
      <c r="S276" s="49">
        <v>0.75390000000000001</v>
      </c>
      <c r="T276" s="49">
        <v>458</v>
      </c>
      <c r="U276" s="49">
        <v>0.35189999999999999</v>
      </c>
      <c r="V276" s="49">
        <v>0</v>
      </c>
      <c r="W276" s="50">
        <v>0</v>
      </c>
      <c r="X276" s="43"/>
      <c r="Y276" s="43"/>
      <c r="Z276" s="43"/>
      <c r="AA276" s="43"/>
      <c r="AB276" s="43"/>
      <c r="AC276" s="43"/>
    </row>
    <row r="277" spans="1:29" x14ac:dyDescent="0.3">
      <c r="A277" s="43"/>
      <c r="B277" s="45" t="s">
        <v>418</v>
      </c>
      <c r="C277" s="48">
        <v>45841</v>
      </c>
      <c r="D277" s="49" t="s">
        <v>161</v>
      </c>
      <c r="E277" s="49" t="s">
        <v>68</v>
      </c>
      <c r="F277" s="49" t="s">
        <v>72</v>
      </c>
      <c r="G277" s="49" t="s">
        <v>183</v>
      </c>
      <c r="H277" s="49" t="s">
        <v>85</v>
      </c>
      <c r="I277" s="49" t="s">
        <v>80</v>
      </c>
      <c r="J277" s="49" t="s">
        <v>81</v>
      </c>
      <c r="K277" s="49">
        <v>5</v>
      </c>
      <c r="L277" s="49">
        <v>500</v>
      </c>
      <c r="M277" s="49">
        <v>0.03</v>
      </c>
      <c r="N277" s="49">
        <v>2500</v>
      </c>
      <c r="O277" s="49">
        <v>2425</v>
      </c>
      <c r="P277" s="49">
        <v>1638.93</v>
      </c>
      <c r="Q277" s="49">
        <v>786.07</v>
      </c>
      <c r="R277" s="49">
        <v>0.32419999999999999</v>
      </c>
      <c r="S277" s="49">
        <v>0.67579999999999996</v>
      </c>
      <c r="T277" s="49">
        <v>4592</v>
      </c>
      <c r="U277" s="49">
        <v>3.6086</v>
      </c>
      <c r="V277" s="49">
        <v>0</v>
      </c>
      <c r="W277" s="50">
        <v>0</v>
      </c>
      <c r="X277" s="43"/>
      <c r="Y277" s="43"/>
      <c r="Z277" s="43"/>
      <c r="AA277" s="43"/>
      <c r="AB277" s="43"/>
      <c r="AC277" s="43"/>
    </row>
    <row r="278" spans="1:29" x14ac:dyDescent="0.3">
      <c r="A278" s="43"/>
      <c r="B278" s="45" t="s">
        <v>419</v>
      </c>
      <c r="C278" s="48">
        <v>45510</v>
      </c>
      <c r="D278" s="49" t="s">
        <v>143</v>
      </c>
      <c r="E278" s="49" t="s">
        <v>69</v>
      </c>
      <c r="F278" s="49" t="s">
        <v>76</v>
      </c>
      <c r="G278" s="49" t="s">
        <v>138</v>
      </c>
      <c r="H278" s="49" t="s">
        <v>84</v>
      </c>
      <c r="I278" s="49" t="s">
        <v>83</v>
      </c>
      <c r="J278" s="49" t="s">
        <v>81</v>
      </c>
      <c r="K278" s="49">
        <v>5</v>
      </c>
      <c r="L278" s="49">
        <v>300</v>
      </c>
      <c r="M278" s="49">
        <v>0.05</v>
      </c>
      <c r="N278" s="49">
        <v>1500</v>
      </c>
      <c r="O278" s="49">
        <v>1425</v>
      </c>
      <c r="P278" s="49">
        <v>877.25</v>
      </c>
      <c r="Q278" s="49">
        <v>547.75</v>
      </c>
      <c r="R278" s="49">
        <v>0.38440000000000002</v>
      </c>
      <c r="S278" s="49">
        <v>0.61560000000000004</v>
      </c>
      <c r="T278" s="49">
        <v>3277</v>
      </c>
      <c r="U278" s="49">
        <v>1.4137</v>
      </c>
      <c r="V278" s="49">
        <v>0</v>
      </c>
      <c r="W278" s="50">
        <v>0</v>
      </c>
      <c r="X278" s="43"/>
      <c r="Y278" s="43"/>
      <c r="Z278" s="43"/>
      <c r="AA278" s="43"/>
      <c r="AB278" s="43"/>
      <c r="AC278" s="43"/>
    </row>
    <row r="279" spans="1:29" x14ac:dyDescent="0.3">
      <c r="A279" s="43"/>
      <c r="B279" s="45" t="s">
        <v>420</v>
      </c>
      <c r="C279" s="48">
        <v>45942</v>
      </c>
      <c r="D279" s="49" t="s">
        <v>143</v>
      </c>
      <c r="E279" s="49" t="s">
        <v>69</v>
      </c>
      <c r="F279" s="49" t="s">
        <v>76</v>
      </c>
      <c r="G279" s="49" t="s">
        <v>147</v>
      </c>
      <c r="H279" s="49" t="s">
        <v>79</v>
      </c>
      <c r="I279" s="49" t="s">
        <v>83</v>
      </c>
      <c r="J279" s="49" t="s">
        <v>86</v>
      </c>
      <c r="K279" s="49">
        <v>4</v>
      </c>
      <c r="L279" s="49">
        <v>500</v>
      </c>
      <c r="M279" s="49">
        <v>0.05</v>
      </c>
      <c r="N279" s="49">
        <v>2000</v>
      </c>
      <c r="O279" s="49">
        <v>1900</v>
      </c>
      <c r="P279" s="49">
        <v>1261.68</v>
      </c>
      <c r="Q279" s="49">
        <v>638.32000000000005</v>
      </c>
      <c r="R279" s="49">
        <v>0.33600000000000002</v>
      </c>
      <c r="S279" s="49">
        <v>0.66400000000000003</v>
      </c>
      <c r="T279" s="49">
        <v>869</v>
      </c>
      <c r="U279" s="49">
        <v>1.7593000000000001</v>
      </c>
      <c r="V279" s="49">
        <v>1</v>
      </c>
      <c r="W279" s="50">
        <v>0.25</v>
      </c>
      <c r="X279" s="43"/>
      <c r="Y279" s="43"/>
      <c r="Z279" s="43"/>
      <c r="AA279" s="43"/>
      <c r="AB279" s="43"/>
      <c r="AC279" s="43"/>
    </row>
    <row r="280" spans="1:29" x14ac:dyDescent="0.3">
      <c r="A280" s="43"/>
      <c r="B280" s="45" t="s">
        <v>421</v>
      </c>
      <c r="C280" s="48">
        <v>45742</v>
      </c>
      <c r="D280" s="49" t="s">
        <v>140</v>
      </c>
      <c r="E280" s="49" t="s">
        <v>71</v>
      </c>
      <c r="F280" s="49" t="s">
        <v>72</v>
      </c>
      <c r="G280" s="49" t="s">
        <v>144</v>
      </c>
      <c r="H280" s="49" t="s">
        <v>82</v>
      </c>
      <c r="I280" s="49" t="s">
        <v>83</v>
      </c>
      <c r="J280" s="49" t="s">
        <v>81</v>
      </c>
      <c r="K280" s="49">
        <v>3</v>
      </c>
      <c r="L280" s="49">
        <v>60</v>
      </c>
      <c r="M280" s="49">
        <v>0.15</v>
      </c>
      <c r="N280" s="49">
        <v>180</v>
      </c>
      <c r="O280" s="49">
        <v>153</v>
      </c>
      <c r="P280" s="49">
        <v>92.98</v>
      </c>
      <c r="Q280" s="49">
        <v>60.02</v>
      </c>
      <c r="R280" s="49">
        <v>0.39229999999999998</v>
      </c>
      <c r="S280" s="49">
        <v>0.60770000000000002</v>
      </c>
      <c r="T280" s="49">
        <v>255</v>
      </c>
      <c r="U280" s="49">
        <v>0.255</v>
      </c>
      <c r="V280" s="49">
        <v>0</v>
      </c>
      <c r="W280" s="50">
        <v>0</v>
      </c>
      <c r="X280" s="43"/>
      <c r="Y280" s="43"/>
      <c r="Z280" s="43"/>
      <c r="AA280" s="43"/>
      <c r="AB280" s="43"/>
      <c r="AC280" s="43"/>
    </row>
    <row r="281" spans="1:29" x14ac:dyDescent="0.3">
      <c r="A281" s="43"/>
      <c r="B281" s="45" t="s">
        <v>422</v>
      </c>
      <c r="C281" s="48">
        <v>45953</v>
      </c>
      <c r="D281" s="49" t="s">
        <v>140</v>
      </c>
      <c r="E281" s="49" t="s">
        <v>71</v>
      </c>
      <c r="F281" s="49" t="s">
        <v>74</v>
      </c>
      <c r="G281" s="49" t="s">
        <v>147</v>
      </c>
      <c r="H281" s="49" t="s">
        <v>84</v>
      </c>
      <c r="I281" s="49" t="s">
        <v>83</v>
      </c>
      <c r="J281" s="49" t="s">
        <v>81</v>
      </c>
      <c r="K281" s="49">
        <v>6</v>
      </c>
      <c r="L281" s="49">
        <v>100</v>
      </c>
      <c r="M281" s="49">
        <v>0.08</v>
      </c>
      <c r="N281" s="49">
        <v>600</v>
      </c>
      <c r="O281" s="49">
        <v>552</v>
      </c>
      <c r="P281" s="49">
        <v>446.89</v>
      </c>
      <c r="Q281" s="49">
        <v>105.11</v>
      </c>
      <c r="R281" s="49">
        <v>0.19040000000000001</v>
      </c>
      <c r="S281" s="49">
        <v>0.80959999999999999</v>
      </c>
      <c r="T281" s="49">
        <v>680</v>
      </c>
      <c r="U281" s="49">
        <v>0.61329999999999996</v>
      </c>
      <c r="V281" s="49">
        <v>0</v>
      </c>
      <c r="W281" s="50">
        <v>0</v>
      </c>
      <c r="X281" s="43"/>
      <c r="Y281" s="43"/>
      <c r="Z281" s="43"/>
      <c r="AA281" s="43"/>
      <c r="AB281" s="43"/>
      <c r="AC281" s="43"/>
    </row>
    <row r="282" spans="1:29" x14ac:dyDescent="0.3">
      <c r="A282" s="43"/>
      <c r="B282" s="45" t="s">
        <v>423</v>
      </c>
      <c r="C282" s="48">
        <v>45702</v>
      </c>
      <c r="D282" s="49" t="s">
        <v>140</v>
      </c>
      <c r="E282" s="49" t="s">
        <v>71</v>
      </c>
      <c r="F282" s="49" t="s">
        <v>75</v>
      </c>
      <c r="G282" s="49" t="s">
        <v>144</v>
      </c>
      <c r="H282" s="49" t="s">
        <v>84</v>
      </c>
      <c r="I282" s="49" t="s">
        <v>83</v>
      </c>
      <c r="J282" s="49" t="s">
        <v>81</v>
      </c>
      <c r="K282" s="49">
        <v>5</v>
      </c>
      <c r="L282" s="49">
        <v>500</v>
      </c>
      <c r="M282" s="49">
        <v>0.15</v>
      </c>
      <c r="N282" s="49">
        <v>2500</v>
      </c>
      <c r="O282" s="49">
        <v>2125</v>
      </c>
      <c r="P282" s="49">
        <v>1205.32</v>
      </c>
      <c r="Q282" s="49">
        <v>919.68</v>
      </c>
      <c r="R282" s="49">
        <v>0.43280000000000002</v>
      </c>
      <c r="S282" s="49">
        <v>0.56720000000000004</v>
      </c>
      <c r="T282" s="49">
        <v>1581</v>
      </c>
      <c r="U282" s="49">
        <v>3.2692000000000001</v>
      </c>
      <c r="V282" s="49">
        <v>0</v>
      </c>
      <c r="W282" s="50">
        <v>0</v>
      </c>
      <c r="X282" s="43"/>
      <c r="Y282" s="43"/>
      <c r="Z282" s="43"/>
      <c r="AA282" s="43"/>
      <c r="AB282" s="43"/>
      <c r="AC282" s="43"/>
    </row>
    <row r="283" spans="1:29" x14ac:dyDescent="0.3">
      <c r="A283" s="43"/>
      <c r="B283" s="45" t="s">
        <v>424</v>
      </c>
      <c r="C283" s="48">
        <v>45427</v>
      </c>
      <c r="D283" s="49" t="s">
        <v>143</v>
      </c>
      <c r="E283" s="49" t="s">
        <v>69</v>
      </c>
      <c r="F283" s="49" t="s">
        <v>76</v>
      </c>
      <c r="G283" s="49" t="s">
        <v>183</v>
      </c>
      <c r="H283" s="49" t="s">
        <v>82</v>
      </c>
      <c r="I283" s="49" t="s">
        <v>83</v>
      </c>
      <c r="J283" s="49" t="s">
        <v>86</v>
      </c>
      <c r="K283" s="49">
        <v>3</v>
      </c>
      <c r="L283" s="49">
        <v>80</v>
      </c>
      <c r="M283" s="49">
        <v>0.03</v>
      </c>
      <c r="N283" s="49">
        <v>240</v>
      </c>
      <c r="O283" s="49">
        <v>232.8</v>
      </c>
      <c r="P283" s="49">
        <v>158.34</v>
      </c>
      <c r="Q283" s="49">
        <v>74.459999999999994</v>
      </c>
      <c r="R283" s="49">
        <v>0.31979999999999997</v>
      </c>
      <c r="S283" s="49">
        <v>0.68020000000000003</v>
      </c>
      <c r="T283" s="49">
        <v>270</v>
      </c>
      <c r="U283" s="49">
        <v>0.24629999999999999</v>
      </c>
      <c r="V283" s="49">
        <v>0</v>
      </c>
      <c r="W283" s="50">
        <v>0</v>
      </c>
      <c r="X283" s="43"/>
      <c r="Y283" s="43"/>
      <c r="Z283" s="43"/>
      <c r="AA283" s="43"/>
      <c r="AB283" s="43"/>
      <c r="AC283" s="43"/>
    </row>
    <row r="284" spans="1:29" x14ac:dyDescent="0.3">
      <c r="A284" s="43"/>
      <c r="B284" s="45" t="s">
        <v>425</v>
      </c>
      <c r="C284" s="48">
        <v>45471</v>
      </c>
      <c r="D284" s="49" t="s">
        <v>151</v>
      </c>
      <c r="E284" s="49" t="s">
        <v>70</v>
      </c>
      <c r="F284" s="49" t="s">
        <v>73</v>
      </c>
      <c r="G284" s="49" t="s">
        <v>138</v>
      </c>
      <c r="H284" s="49" t="s">
        <v>85</v>
      </c>
      <c r="I284" s="49" t="s">
        <v>80</v>
      </c>
      <c r="J284" s="49" t="s">
        <v>86</v>
      </c>
      <c r="K284" s="49">
        <v>3</v>
      </c>
      <c r="L284" s="49">
        <v>60</v>
      </c>
      <c r="M284" s="49">
        <v>0.1</v>
      </c>
      <c r="N284" s="49">
        <v>180</v>
      </c>
      <c r="O284" s="49">
        <v>162</v>
      </c>
      <c r="P284" s="49">
        <v>93.41</v>
      </c>
      <c r="Q284" s="49">
        <v>68.59</v>
      </c>
      <c r="R284" s="49">
        <v>0.4234</v>
      </c>
      <c r="S284" s="49">
        <v>0.5766</v>
      </c>
      <c r="T284" s="49">
        <v>195</v>
      </c>
      <c r="U284" s="49">
        <v>0.19289999999999999</v>
      </c>
      <c r="V284" s="49">
        <v>0</v>
      </c>
      <c r="W284" s="50">
        <v>0</v>
      </c>
      <c r="X284" s="43"/>
      <c r="Y284" s="43"/>
      <c r="Z284" s="43"/>
      <c r="AA284" s="43"/>
      <c r="AB284" s="43"/>
      <c r="AC284" s="43"/>
    </row>
    <row r="285" spans="1:29" x14ac:dyDescent="0.3">
      <c r="A285" s="43"/>
      <c r="B285" s="45" t="s">
        <v>426</v>
      </c>
      <c r="C285" s="48">
        <v>45947</v>
      </c>
      <c r="D285" s="49" t="s">
        <v>149</v>
      </c>
      <c r="E285" s="49" t="s">
        <v>70</v>
      </c>
      <c r="F285" s="49" t="s">
        <v>75</v>
      </c>
      <c r="G285" s="49" t="s">
        <v>144</v>
      </c>
      <c r="H285" s="49" t="s">
        <v>82</v>
      </c>
      <c r="I285" s="49" t="s">
        <v>80</v>
      </c>
      <c r="J285" s="49" t="s">
        <v>81</v>
      </c>
      <c r="K285" s="49">
        <v>3</v>
      </c>
      <c r="L285" s="49">
        <v>60</v>
      </c>
      <c r="M285" s="49">
        <v>0.1</v>
      </c>
      <c r="N285" s="49">
        <v>180</v>
      </c>
      <c r="O285" s="49">
        <v>162</v>
      </c>
      <c r="P285" s="49">
        <v>101.27</v>
      </c>
      <c r="Q285" s="49">
        <v>60.73</v>
      </c>
      <c r="R285" s="49">
        <v>0.37490000000000001</v>
      </c>
      <c r="S285" s="49">
        <v>0.62509999999999999</v>
      </c>
      <c r="T285" s="49">
        <v>201</v>
      </c>
      <c r="U285" s="49">
        <v>0.2077</v>
      </c>
      <c r="V285" s="49">
        <v>0</v>
      </c>
      <c r="W285" s="50">
        <v>0</v>
      </c>
      <c r="X285" s="43"/>
      <c r="Y285" s="43"/>
      <c r="Z285" s="43"/>
      <c r="AA285" s="43"/>
      <c r="AB285" s="43"/>
      <c r="AC285" s="43"/>
    </row>
    <row r="286" spans="1:29" x14ac:dyDescent="0.3">
      <c r="A286" s="43"/>
      <c r="B286" s="45" t="s">
        <v>427</v>
      </c>
      <c r="C286" s="48">
        <v>45882</v>
      </c>
      <c r="D286" s="49" t="s">
        <v>151</v>
      </c>
      <c r="E286" s="49" t="s">
        <v>70</v>
      </c>
      <c r="F286" s="49" t="s">
        <v>72</v>
      </c>
      <c r="G286" s="49" t="s">
        <v>153</v>
      </c>
      <c r="H286" s="49" t="s">
        <v>82</v>
      </c>
      <c r="I286" s="49" t="s">
        <v>80</v>
      </c>
      <c r="J286" s="49" t="s">
        <v>81</v>
      </c>
      <c r="K286" s="49">
        <v>7</v>
      </c>
      <c r="L286" s="49">
        <v>80</v>
      </c>
      <c r="M286" s="49">
        <v>0.05</v>
      </c>
      <c r="N286" s="49">
        <v>560</v>
      </c>
      <c r="O286" s="49">
        <v>532</v>
      </c>
      <c r="P286" s="49">
        <v>287.99</v>
      </c>
      <c r="Q286" s="49">
        <v>244.01</v>
      </c>
      <c r="R286" s="49">
        <v>0.4587</v>
      </c>
      <c r="S286" s="49">
        <v>0.5413</v>
      </c>
      <c r="T286" s="49">
        <v>423</v>
      </c>
      <c r="U286" s="49">
        <v>0.79169999999999996</v>
      </c>
      <c r="V286" s="49">
        <v>0</v>
      </c>
      <c r="W286" s="50">
        <v>0</v>
      </c>
      <c r="X286" s="43"/>
      <c r="Y286" s="43"/>
      <c r="Z286" s="43"/>
      <c r="AA286" s="43"/>
      <c r="AB286" s="43"/>
      <c r="AC286" s="43"/>
    </row>
    <row r="287" spans="1:29" x14ac:dyDescent="0.3">
      <c r="A287" s="43"/>
      <c r="B287" s="45" t="s">
        <v>428</v>
      </c>
      <c r="C287" s="48">
        <v>46018</v>
      </c>
      <c r="D287" s="49" t="s">
        <v>140</v>
      </c>
      <c r="E287" s="49" t="s">
        <v>71</v>
      </c>
      <c r="F287" s="49" t="s">
        <v>72</v>
      </c>
      <c r="G287" s="49" t="s">
        <v>153</v>
      </c>
      <c r="H287" s="49" t="s">
        <v>84</v>
      </c>
      <c r="I287" s="49" t="s">
        <v>83</v>
      </c>
      <c r="J287" s="49" t="s">
        <v>86</v>
      </c>
      <c r="K287" s="49">
        <v>5</v>
      </c>
      <c r="L287" s="49">
        <v>500</v>
      </c>
      <c r="M287" s="49">
        <v>0.05</v>
      </c>
      <c r="N287" s="49">
        <v>2500</v>
      </c>
      <c r="O287" s="49">
        <v>2375</v>
      </c>
      <c r="P287" s="49">
        <v>1726.79</v>
      </c>
      <c r="Q287" s="49">
        <v>648.21</v>
      </c>
      <c r="R287" s="49">
        <v>0.27289999999999998</v>
      </c>
      <c r="S287" s="49">
        <v>0.72709999999999997</v>
      </c>
      <c r="T287" s="49">
        <v>2758</v>
      </c>
      <c r="U287" s="49">
        <v>3.2986</v>
      </c>
      <c r="V287" s="49">
        <v>0</v>
      </c>
      <c r="W287" s="50">
        <v>0</v>
      </c>
      <c r="X287" s="43"/>
      <c r="Y287" s="43"/>
      <c r="Z287" s="43"/>
      <c r="AA287" s="43"/>
      <c r="AB287" s="43"/>
      <c r="AC287" s="43"/>
    </row>
    <row r="288" spans="1:29" x14ac:dyDescent="0.3">
      <c r="A288" s="43"/>
      <c r="B288" s="45" t="s">
        <v>429</v>
      </c>
      <c r="C288" s="48">
        <v>45987</v>
      </c>
      <c r="D288" s="49" t="s">
        <v>161</v>
      </c>
      <c r="E288" s="49" t="s">
        <v>68</v>
      </c>
      <c r="F288" s="49" t="s">
        <v>75</v>
      </c>
      <c r="G288" s="49" t="s">
        <v>141</v>
      </c>
      <c r="H288" s="49" t="s">
        <v>79</v>
      </c>
      <c r="I288" s="49" t="s">
        <v>80</v>
      </c>
      <c r="J288" s="49" t="s">
        <v>81</v>
      </c>
      <c r="K288" s="49">
        <v>6</v>
      </c>
      <c r="L288" s="49">
        <v>150</v>
      </c>
      <c r="M288" s="49">
        <v>0.05</v>
      </c>
      <c r="N288" s="49">
        <v>900</v>
      </c>
      <c r="O288" s="49">
        <v>855</v>
      </c>
      <c r="P288" s="49">
        <v>549.12</v>
      </c>
      <c r="Q288" s="49">
        <v>305.88</v>
      </c>
      <c r="R288" s="49">
        <v>0.35780000000000001</v>
      </c>
      <c r="S288" s="49">
        <v>0.64219999999999999</v>
      </c>
      <c r="T288" s="49">
        <v>916</v>
      </c>
      <c r="U288" s="49">
        <v>1.0962000000000001</v>
      </c>
      <c r="V288" s="49">
        <v>0</v>
      </c>
      <c r="W288" s="50">
        <v>0</v>
      </c>
      <c r="X288" s="43"/>
      <c r="Y288" s="43"/>
      <c r="Z288" s="43"/>
      <c r="AA288" s="43"/>
      <c r="AB288" s="43"/>
      <c r="AC288" s="43"/>
    </row>
    <row r="289" spans="1:29" x14ac:dyDescent="0.3">
      <c r="A289" s="43"/>
      <c r="B289" s="45" t="s">
        <v>430</v>
      </c>
      <c r="C289" s="48">
        <v>45798</v>
      </c>
      <c r="D289" s="49" t="s">
        <v>149</v>
      </c>
      <c r="E289" s="49" t="s">
        <v>70</v>
      </c>
      <c r="F289" s="49" t="s">
        <v>76</v>
      </c>
      <c r="G289" s="49" t="s">
        <v>144</v>
      </c>
      <c r="H289" s="49" t="s">
        <v>82</v>
      </c>
      <c r="I289" s="49" t="s">
        <v>83</v>
      </c>
      <c r="J289" s="49" t="s">
        <v>81</v>
      </c>
      <c r="K289" s="49">
        <v>6</v>
      </c>
      <c r="L289" s="49">
        <v>100</v>
      </c>
      <c r="M289" s="49">
        <v>0.03</v>
      </c>
      <c r="N289" s="49">
        <v>600</v>
      </c>
      <c r="O289" s="49">
        <v>582</v>
      </c>
      <c r="P289" s="49">
        <v>390.84</v>
      </c>
      <c r="Q289" s="49">
        <v>191.16</v>
      </c>
      <c r="R289" s="49">
        <v>0.32850000000000001</v>
      </c>
      <c r="S289" s="49">
        <v>0.67149999999999999</v>
      </c>
      <c r="T289" s="49">
        <v>609</v>
      </c>
      <c r="U289" s="49">
        <v>0.6159</v>
      </c>
      <c r="V289" s="49">
        <v>1</v>
      </c>
      <c r="W289" s="50">
        <v>0.16669999999999999</v>
      </c>
      <c r="X289" s="43"/>
      <c r="Y289" s="43"/>
      <c r="Z289" s="43"/>
      <c r="AA289" s="43"/>
      <c r="AB289" s="43"/>
      <c r="AC289" s="43"/>
    </row>
    <row r="290" spans="1:29" x14ac:dyDescent="0.3">
      <c r="A290" s="43"/>
      <c r="B290" s="45" t="s">
        <v>431</v>
      </c>
      <c r="C290" s="48">
        <v>45934</v>
      </c>
      <c r="D290" s="49" t="s">
        <v>161</v>
      </c>
      <c r="E290" s="49" t="s">
        <v>68</v>
      </c>
      <c r="F290" s="49" t="s">
        <v>72</v>
      </c>
      <c r="G290" s="49" t="s">
        <v>138</v>
      </c>
      <c r="H290" s="49" t="s">
        <v>85</v>
      </c>
      <c r="I290" s="49" t="s">
        <v>83</v>
      </c>
      <c r="J290" s="49" t="s">
        <v>81</v>
      </c>
      <c r="K290" s="49">
        <v>5</v>
      </c>
      <c r="L290" s="49">
        <v>200</v>
      </c>
      <c r="M290" s="49">
        <v>0</v>
      </c>
      <c r="N290" s="49">
        <v>1000</v>
      </c>
      <c r="O290" s="49">
        <v>1000</v>
      </c>
      <c r="P290" s="49">
        <v>737.42</v>
      </c>
      <c r="Q290" s="49">
        <v>262.58</v>
      </c>
      <c r="R290" s="49">
        <v>0.2626</v>
      </c>
      <c r="S290" s="49">
        <v>0.73740000000000006</v>
      </c>
      <c r="T290" s="49">
        <v>587</v>
      </c>
      <c r="U290" s="49">
        <v>1.3889</v>
      </c>
      <c r="V290" s="49">
        <v>1</v>
      </c>
      <c r="W290" s="50">
        <v>0.2</v>
      </c>
      <c r="X290" s="43"/>
      <c r="Y290" s="43"/>
      <c r="Z290" s="43"/>
      <c r="AA290" s="43"/>
      <c r="AB290" s="43"/>
      <c r="AC290" s="43"/>
    </row>
    <row r="291" spans="1:29" x14ac:dyDescent="0.3">
      <c r="A291" s="43"/>
      <c r="B291" s="45" t="s">
        <v>432</v>
      </c>
      <c r="C291" s="48">
        <v>45399</v>
      </c>
      <c r="D291" s="49" t="s">
        <v>137</v>
      </c>
      <c r="E291" s="49" t="s">
        <v>71</v>
      </c>
      <c r="F291" s="49" t="s">
        <v>75</v>
      </c>
      <c r="G291" s="49" t="s">
        <v>144</v>
      </c>
      <c r="H291" s="49" t="s">
        <v>85</v>
      </c>
      <c r="I291" s="49" t="s">
        <v>80</v>
      </c>
      <c r="J291" s="49" t="s">
        <v>86</v>
      </c>
      <c r="K291" s="49">
        <v>7</v>
      </c>
      <c r="L291" s="49">
        <v>60</v>
      </c>
      <c r="M291" s="49">
        <v>0</v>
      </c>
      <c r="N291" s="49">
        <v>420</v>
      </c>
      <c r="O291" s="49">
        <v>420</v>
      </c>
      <c r="P291" s="49">
        <v>227.86</v>
      </c>
      <c r="Q291" s="49">
        <v>192.14</v>
      </c>
      <c r="R291" s="49">
        <v>0.45750000000000002</v>
      </c>
      <c r="S291" s="49">
        <v>0.54249999999999998</v>
      </c>
      <c r="T291" s="49">
        <v>453</v>
      </c>
      <c r="U291" s="49">
        <v>0.61580000000000001</v>
      </c>
      <c r="V291" s="49">
        <v>0</v>
      </c>
      <c r="W291" s="50">
        <v>0</v>
      </c>
      <c r="X291" s="43"/>
      <c r="Y291" s="43"/>
      <c r="Z291" s="43"/>
      <c r="AA291" s="43"/>
      <c r="AB291" s="43"/>
      <c r="AC291" s="43"/>
    </row>
    <row r="292" spans="1:29" x14ac:dyDescent="0.3">
      <c r="A292" s="43"/>
      <c r="B292" s="45" t="s">
        <v>433</v>
      </c>
      <c r="C292" s="48">
        <v>45721</v>
      </c>
      <c r="D292" s="49" t="s">
        <v>140</v>
      </c>
      <c r="E292" s="49" t="s">
        <v>71</v>
      </c>
      <c r="F292" s="49" t="s">
        <v>73</v>
      </c>
      <c r="G292" s="49" t="s">
        <v>144</v>
      </c>
      <c r="H292" s="49" t="s">
        <v>85</v>
      </c>
      <c r="I292" s="49" t="s">
        <v>83</v>
      </c>
      <c r="J292" s="49" t="s">
        <v>81</v>
      </c>
      <c r="K292" s="49">
        <v>1</v>
      </c>
      <c r="L292" s="49">
        <v>80</v>
      </c>
      <c r="M292" s="49">
        <v>0.1</v>
      </c>
      <c r="N292" s="49">
        <v>80</v>
      </c>
      <c r="O292" s="49">
        <v>72</v>
      </c>
      <c r="P292" s="49">
        <v>46.59</v>
      </c>
      <c r="Q292" s="49">
        <v>25.41</v>
      </c>
      <c r="R292" s="49">
        <v>0.35289999999999999</v>
      </c>
      <c r="S292" s="49">
        <v>0.64710000000000001</v>
      </c>
      <c r="T292" s="49">
        <v>76</v>
      </c>
      <c r="U292" s="49">
        <v>0.09</v>
      </c>
      <c r="V292" s="49">
        <v>1</v>
      </c>
      <c r="W292" s="50">
        <v>1</v>
      </c>
      <c r="X292" s="43"/>
      <c r="Y292" s="43"/>
      <c r="Z292" s="43"/>
      <c r="AA292" s="43"/>
      <c r="AB292" s="43"/>
      <c r="AC292" s="43"/>
    </row>
    <row r="293" spans="1:29" x14ac:dyDescent="0.3">
      <c r="A293" s="43"/>
      <c r="B293" s="45" t="s">
        <v>434</v>
      </c>
      <c r="C293" s="48">
        <v>45871</v>
      </c>
      <c r="D293" s="49" t="s">
        <v>161</v>
      </c>
      <c r="E293" s="49" t="s">
        <v>68</v>
      </c>
      <c r="F293" s="49" t="s">
        <v>75</v>
      </c>
      <c r="G293" s="49" t="s">
        <v>147</v>
      </c>
      <c r="H293" s="49" t="s">
        <v>82</v>
      </c>
      <c r="I293" s="49" t="s">
        <v>83</v>
      </c>
      <c r="J293" s="49" t="s">
        <v>81</v>
      </c>
      <c r="K293" s="49">
        <v>4</v>
      </c>
      <c r="L293" s="49">
        <v>80</v>
      </c>
      <c r="M293" s="49">
        <v>0.05</v>
      </c>
      <c r="N293" s="49">
        <v>320</v>
      </c>
      <c r="O293" s="49">
        <v>304</v>
      </c>
      <c r="P293" s="49">
        <v>242.84</v>
      </c>
      <c r="Q293" s="49">
        <v>61.16</v>
      </c>
      <c r="R293" s="49">
        <v>0.20119999999999999</v>
      </c>
      <c r="S293" s="49">
        <v>0.79879999999999995</v>
      </c>
      <c r="T293" s="49">
        <v>403</v>
      </c>
      <c r="U293" s="49">
        <v>0.41760000000000003</v>
      </c>
      <c r="V293" s="49">
        <v>0</v>
      </c>
      <c r="W293" s="50">
        <v>0</v>
      </c>
      <c r="X293" s="43"/>
      <c r="Y293" s="43"/>
      <c r="Z293" s="43"/>
      <c r="AA293" s="43"/>
      <c r="AB293" s="43"/>
      <c r="AC293" s="43"/>
    </row>
    <row r="294" spans="1:29" x14ac:dyDescent="0.3">
      <c r="A294" s="43"/>
      <c r="B294" s="45" t="s">
        <v>435</v>
      </c>
      <c r="C294" s="48">
        <v>45995</v>
      </c>
      <c r="D294" s="49" t="s">
        <v>143</v>
      </c>
      <c r="E294" s="49" t="s">
        <v>69</v>
      </c>
      <c r="F294" s="49" t="s">
        <v>76</v>
      </c>
      <c r="G294" s="49" t="s">
        <v>138</v>
      </c>
      <c r="H294" s="49" t="s">
        <v>82</v>
      </c>
      <c r="I294" s="49" t="s">
        <v>83</v>
      </c>
      <c r="J294" s="49" t="s">
        <v>81</v>
      </c>
      <c r="K294" s="49">
        <v>4</v>
      </c>
      <c r="L294" s="49">
        <v>80</v>
      </c>
      <c r="M294" s="49">
        <v>0.08</v>
      </c>
      <c r="N294" s="49">
        <v>320</v>
      </c>
      <c r="O294" s="49">
        <v>294.39999999999998</v>
      </c>
      <c r="P294" s="49">
        <v>217.53</v>
      </c>
      <c r="Q294" s="49">
        <v>76.87</v>
      </c>
      <c r="R294" s="49">
        <v>0.2611</v>
      </c>
      <c r="S294" s="49">
        <v>0.7389</v>
      </c>
      <c r="T294" s="49">
        <v>360</v>
      </c>
      <c r="U294" s="49">
        <v>0.27260000000000001</v>
      </c>
      <c r="V294" s="49">
        <v>0</v>
      </c>
      <c r="W294" s="50">
        <v>0</v>
      </c>
      <c r="X294" s="43"/>
      <c r="Y294" s="43"/>
      <c r="Z294" s="43"/>
      <c r="AA294" s="43"/>
      <c r="AB294" s="43"/>
      <c r="AC294" s="43"/>
    </row>
    <row r="295" spans="1:29" x14ac:dyDescent="0.3">
      <c r="A295" s="43"/>
      <c r="B295" s="45" t="s">
        <v>436</v>
      </c>
      <c r="C295" s="48">
        <v>45324</v>
      </c>
      <c r="D295" s="49" t="s">
        <v>151</v>
      </c>
      <c r="E295" s="49" t="s">
        <v>70</v>
      </c>
      <c r="F295" s="49" t="s">
        <v>74</v>
      </c>
      <c r="G295" s="49" t="s">
        <v>147</v>
      </c>
      <c r="H295" s="49" t="s">
        <v>82</v>
      </c>
      <c r="I295" s="49" t="s">
        <v>80</v>
      </c>
      <c r="J295" s="49" t="s">
        <v>81</v>
      </c>
      <c r="K295" s="49">
        <v>5</v>
      </c>
      <c r="L295" s="49">
        <v>40</v>
      </c>
      <c r="M295" s="49">
        <v>0.15</v>
      </c>
      <c r="N295" s="49">
        <v>200</v>
      </c>
      <c r="O295" s="49">
        <v>170</v>
      </c>
      <c r="P295" s="49">
        <v>108.13</v>
      </c>
      <c r="Q295" s="49">
        <v>61.87</v>
      </c>
      <c r="R295" s="49">
        <v>0.3639</v>
      </c>
      <c r="S295" s="49">
        <v>0.6361</v>
      </c>
      <c r="T295" s="49">
        <v>184</v>
      </c>
      <c r="U295" s="49">
        <v>0.22670000000000001</v>
      </c>
      <c r="V295" s="49">
        <v>0</v>
      </c>
      <c r="W295" s="50">
        <v>0</v>
      </c>
      <c r="X295" s="43"/>
      <c r="Y295" s="43"/>
      <c r="Z295" s="43"/>
      <c r="AA295" s="43"/>
      <c r="AB295" s="43"/>
      <c r="AC295" s="43"/>
    </row>
    <row r="296" spans="1:29" x14ac:dyDescent="0.3">
      <c r="A296" s="43"/>
      <c r="B296" s="45" t="s">
        <v>437</v>
      </c>
      <c r="C296" s="48">
        <v>45722</v>
      </c>
      <c r="D296" s="49" t="s">
        <v>149</v>
      </c>
      <c r="E296" s="49" t="s">
        <v>70</v>
      </c>
      <c r="F296" s="49" t="s">
        <v>72</v>
      </c>
      <c r="G296" s="49" t="s">
        <v>138</v>
      </c>
      <c r="H296" s="49" t="s">
        <v>84</v>
      </c>
      <c r="I296" s="49" t="s">
        <v>83</v>
      </c>
      <c r="J296" s="49" t="s">
        <v>81</v>
      </c>
      <c r="K296" s="49">
        <v>2</v>
      </c>
      <c r="L296" s="49">
        <v>500</v>
      </c>
      <c r="M296" s="49">
        <v>0.08</v>
      </c>
      <c r="N296" s="49">
        <v>1000</v>
      </c>
      <c r="O296" s="49">
        <v>920</v>
      </c>
      <c r="P296" s="49">
        <v>593.94000000000005</v>
      </c>
      <c r="Q296" s="49">
        <v>326.06</v>
      </c>
      <c r="R296" s="49">
        <v>0.35439999999999999</v>
      </c>
      <c r="S296" s="49">
        <v>0.64559999999999995</v>
      </c>
      <c r="T296" s="49">
        <v>1382</v>
      </c>
      <c r="U296" s="49">
        <v>1.5333000000000001</v>
      </c>
      <c r="V296" s="49">
        <v>0</v>
      </c>
      <c r="W296" s="50">
        <v>0</v>
      </c>
      <c r="X296" s="43"/>
      <c r="Y296" s="43"/>
      <c r="Z296" s="43"/>
      <c r="AA296" s="43"/>
      <c r="AB296" s="43"/>
      <c r="AC296" s="43"/>
    </row>
    <row r="297" spans="1:29" x14ac:dyDescent="0.3">
      <c r="A297" s="43"/>
      <c r="B297" s="45" t="s">
        <v>438</v>
      </c>
      <c r="C297" s="48">
        <v>45771</v>
      </c>
      <c r="D297" s="49" t="s">
        <v>143</v>
      </c>
      <c r="E297" s="49" t="s">
        <v>69</v>
      </c>
      <c r="F297" s="49" t="s">
        <v>73</v>
      </c>
      <c r="G297" s="49" t="s">
        <v>141</v>
      </c>
      <c r="H297" s="49" t="s">
        <v>82</v>
      </c>
      <c r="I297" s="49" t="s">
        <v>83</v>
      </c>
      <c r="J297" s="49" t="s">
        <v>81</v>
      </c>
      <c r="K297" s="49">
        <v>4</v>
      </c>
      <c r="L297" s="49">
        <v>80</v>
      </c>
      <c r="M297" s="49">
        <v>0.1</v>
      </c>
      <c r="N297" s="49">
        <v>320</v>
      </c>
      <c r="O297" s="49">
        <v>288</v>
      </c>
      <c r="P297" s="49">
        <v>144.19</v>
      </c>
      <c r="Q297" s="49">
        <v>143.81</v>
      </c>
      <c r="R297" s="49">
        <v>0.49930000000000002</v>
      </c>
      <c r="S297" s="49">
        <v>0.50070000000000003</v>
      </c>
      <c r="T297" s="49">
        <v>135</v>
      </c>
      <c r="U297" s="49">
        <v>0.34289999999999998</v>
      </c>
      <c r="V297" s="49">
        <v>0</v>
      </c>
      <c r="W297" s="50">
        <v>0</v>
      </c>
      <c r="X297" s="43"/>
      <c r="Y297" s="43"/>
      <c r="Z297" s="43"/>
      <c r="AA297" s="43"/>
      <c r="AB297" s="43"/>
      <c r="AC297" s="43"/>
    </row>
    <row r="298" spans="1:29" x14ac:dyDescent="0.3">
      <c r="A298" s="43"/>
      <c r="B298" s="45" t="s">
        <v>439</v>
      </c>
      <c r="C298" s="48">
        <v>45391</v>
      </c>
      <c r="D298" s="49" t="s">
        <v>161</v>
      </c>
      <c r="E298" s="49" t="s">
        <v>68</v>
      </c>
      <c r="F298" s="49" t="s">
        <v>75</v>
      </c>
      <c r="G298" s="49" t="s">
        <v>147</v>
      </c>
      <c r="H298" s="49" t="s">
        <v>79</v>
      </c>
      <c r="I298" s="49" t="s">
        <v>80</v>
      </c>
      <c r="J298" s="49" t="s">
        <v>81</v>
      </c>
      <c r="K298" s="49">
        <v>1</v>
      </c>
      <c r="L298" s="49">
        <v>60</v>
      </c>
      <c r="M298" s="49">
        <v>0.05</v>
      </c>
      <c r="N298" s="49">
        <v>60</v>
      </c>
      <c r="O298" s="49">
        <v>57</v>
      </c>
      <c r="P298" s="49">
        <v>37.049999999999997</v>
      </c>
      <c r="Q298" s="49">
        <v>19.95</v>
      </c>
      <c r="R298" s="49">
        <v>0.35</v>
      </c>
      <c r="S298" s="49">
        <v>0.65</v>
      </c>
      <c r="T298" s="49">
        <v>69</v>
      </c>
      <c r="U298" s="49">
        <v>8.3599999999999994E-2</v>
      </c>
      <c r="V298" s="49">
        <v>0</v>
      </c>
      <c r="W298" s="50">
        <v>0</v>
      </c>
      <c r="X298" s="43"/>
      <c r="Y298" s="43"/>
      <c r="Z298" s="43"/>
      <c r="AA298" s="43"/>
      <c r="AB298" s="43"/>
      <c r="AC298" s="43"/>
    </row>
    <row r="299" spans="1:29" x14ac:dyDescent="0.3">
      <c r="A299" s="43"/>
      <c r="B299" s="45" t="s">
        <v>440</v>
      </c>
      <c r="C299" s="48">
        <v>45587</v>
      </c>
      <c r="D299" s="49" t="s">
        <v>151</v>
      </c>
      <c r="E299" s="49" t="s">
        <v>70</v>
      </c>
      <c r="F299" s="49" t="s">
        <v>74</v>
      </c>
      <c r="G299" s="49" t="s">
        <v>153</v>
      </c>
      <c r="H299" s="49" t="s">
        <v>79</v>
      </c>
      <c r="I299" s="49" t="s">
        <v>80</v>
      </c>
      <c r="J299" s="49" t="s">
        <v>81</v>
      </c>
      <c r="K299" s="49">
        <v>2</v>
      </c>
      <c r="L299" s="49">
        <v>60</v>
      </c>
      <c r="M299" s="49">
        <v>0.03</v>
      </c>
      <c r="N299" s="49">
        <v>120</v>
      </c>
      <c r="O299" s="49">
        <v>116.4</v>
      </c>
      <c r="P299" s="49">
        <v>74.27</v>
      </c>
      <c r="Q299" s="49">
        <v>42.13</v>
      </c>
      <c r="R299" s="49">
        <v>0.3619</v>
      </c>
      <c r="S299" s="49">
        <v>0.6381</v>
      </c>
      <c r="T299" s="49">
        <v>144</v>
      </c>
      <c r="U299" s="49">
        <v>0.1293</v>
      </c>
      <c r="V299" s="49">
        <v>0</v>
      </c>
      <c r="W299" s="50">
        <v>0</v>
      </c>
      <c r="X299" s="43"/>
      <c r="Y299" s="43"/>
      <c r="Z299" s="43"/>
      <c r="AA299" s="43"/>
      <c r="AB299" s="43"/>
      <c r="AC299" s="43"/>
    </row>
    <row r="300" spans="1:29" x14ac:dyDescent="0.3">
      <c r="A300" s="43"/>
      <c r="B300" s="45" t="s">
        <v>441</v>
      </c>
      <c r="C300" s="48">
        <v>45395</v>
      </c>
      <c r="D300" s="49" t="s">
        <v>151</v>
      </c>
      <c r="E300" s="49" t="s">
        <v>70</v>
      </c>
      <c r="F300" s="49" t="s">
        <v>74</v>
      </c>
      <c r="G300" s="49" t="s">
        <v>183</v>
      </c>
      <c r="H300" s="49" t="s">
        <v>82</v>
      </c>
      <c r="I300" s="49" t="s">
        <v>80</v>
      </c>
      <c r="J300" s="49" t="s">
        <v>81</v>
      </c>
      <c r="K300" s="49">
        <v>5</v>
      </c>
      <c r="L300" s="49">
        <v>300</v>
      </c>
      <c r="M300" s="49">
        <v>0</v>
      </c>
      <c r="N300" s="49">
        <v>1500</v>
      </c>
      <c r="O300" s="49">
        <v>1500</v>
      </c>
      <c r="P300" s="49">
        <v>882.03</v>
      </c>
      <c r="Q300" s="49">
        <v>617.97</v>
      </c>
      <c r="R300" s="49">
        <v>0.41199999999999998</v>
      </c>
      <c r="S300" s="49">
        <v>0.58799999999999997</v>
      </c>
      <c r="T300" s="49">
        <v>1106</v>
      </c>
      <c r="U300" s="49">
        <v>1.9036</v>
      </c>
      <c r="V300" s="49">
        <v>0</v>
      </c>
      <c r="W300" s="50">
        <v>0</v>
      </c>
      <c r="X300" s="43"/>
      <c r="Y300" s="43"/>
      <c r="Z300" s="43"/>
      <c r="AA300" s="43"/>
      <c r="AB300" s="43"/>
      <c r="AC300" s="43"/>
    </row>
    <row r="301" spans="1:29" x14ac:dyDescent="0.3">
      <c r="A301" s="43"/>
      <c r="B301" s="45" t="s">
        <v>442</v>
      </c>
      <c r="C301" s="48">
        <v>45496</v>
      </c>
      <c r="D301" s="49" t="s">
        <v>140</v>
      </c>
      <c r="E301" s="49" t="s">
        <v>71</v>
      </c>
      <c r="F301" s="49" t="s">
        <v>75</v>
      </c>
      <c r="G301" s="49" t="s">
        <v>153</v>
      </c>
      <c r="H301" s="49" t="s">
        <v>79</v>
      </c>
      <c r="I301" s="49" t="s">
        <v>80</v>
      </c>
      <c r="J301" s="49" t="s">
        <v>81</v>
      </c>
      <c r="K301" s="49">
        <v>1</v>
      </c>
      <c r="L301" s="49">
        <v>200</v>
      </c>
      <c r="M301" s="49">
        <v>0.1</v>
      </c>
      <c r="N301" s="49">
        <v>200</v>
      </c>
      <c r="O301" s="49">
        <v>180</v>
      </c>
      <c r="P301" s="49">
        <v>126.36</v>
      </c>
      <c r="Q301" s="49">
        <v>53.64</v>
      </c>
      <c r="R301" s="49">
        <v>0.29799999999999999</v>
      </c>
      <c r="S301" s="49">
        <v>0.70199999999999996</v>
      </c>
      <c r="T301" s="49">
        <v>143</v>
      </c>
      <c r="U301" s="49">
        <v>0.24729999999999999</v>
      </c>
      <c r="V301" s="49">
        <v>0</v>
      </c>
      <c r="W301" s="50">
        <v>0</v>
      </c>
      <c r="X301" s="43"/>
      <c r="Y301" s="43"/>
      <c r="Z301" s="43"/>
      <c r="AA301" s="43"/>
      <c r="AB301" s="43"/>
      <c r="AC301" s="43"/>
    </row>
    <row r="302" spans="1:29" x14ac:dyDescent="0.3">
      <c r="A302" s="43"/>
      <c r="B302" s="45" t="s">
        <v>443</v>
      </c>
      <c r="C302" s="48">
        <v>45550</v>
      </c>
      <c r="D302" s="49" t="s">
        <v>151</v>
      </c>
      <c r="E302" s="49" t="s">
        <v>70</v>
      </c>
      <c r="F302" s="49" t="s">
        <v>76</v>
      </c>
      <c r="G302" s="49" t="s">
        <v>147</v>
      </c>
      <c r="H302" s="49" t="s">
        <v>85</v>
      </c>
      <c r="I302" s="49" t="s">
        <v>80</v>
      </c>
      <c r="J302" s="49" t="s">
        <v>81</v>
      </c>
      <c r="K302" s="49">
        <v>3</v>
      </c>
      <c r="L302" s="49">
        <v>100</v>
      </c>
      <c r="M302" s="49">
        <v>0.03</v>
      </c>
      <c r="N302" s="49">
        <v>300</v>
      </c>
      <c r="O302" s="49">
        <v>291</v>
      </c>
      <c r="P302" s="49">
        <v>182.58</v>
      </c>
      <c r="Q302" s="49">
        <v>108.42</v>
      </c>
      <c r="R302" s="49">
        <v>0.37259999999999999</v>
      </c>
      <c r="S302" s="49">
        <v>0.62739999999999996</v>
      </c>
      <c r="T302" s="49">
        <v>196</v>
      </c>
      <c r="U302" s="49">
        <v>0.28870000000000001</v>
      </c>
      <c r="V302" s="49">
        <v>0</v>
      </c>
      <c r="W302" s="50">
        <v>0</v>
      </c>
      <c r="X302" s="43"/>
      <c r="Y302" s="43"/>
      <c r="Z302" s="43"/>
      <c r="AA302" s="43"/>
      <c r="AB302" s="43"/>
      <c r="AC302" s="43"/>
    </row>
    <row r="303" spans="1:29" x14ac:dyDescent="0.3">
      <c r="A303" s="43"/>
      <c r="B303" s="45" t="s">
        <v>444</v>
      </c>
      <c r="C303" s="48">
        <v>45812</v>
      </c>
      <c r="D303" s="49" t="s">
        <v>151</v>
      </c>
      <c r="E303" s="49" t="s">
        <v>70</v>
      </c>
      <c r="F303" s="49" t="s">
        <v>76</v>
      </c>
      <c r="G303" s="49" t="s">
        <v>141</v>
      </c>
      <c r="H303" s="49" t="s">
        <v>85</v>
      </c>
      <c r="I303" s="49" t="s">
        <v>80</v>
      </c>
      <c r="J303" s="49" t="s">
        <v>81</v>
      </c>
      <c r="K303" s="49">
        <v>2</v>
      </c>
      <c r="L303" s="49">
        <v>60</v>
      </c>
      <c r="M303" s="49">
        <v>0</v>
      </c>
      <c r="N303" s="49">
        <v>120</v>
      </c>
      <c r="O303" s="49">
        <v>120</v>
      </c>
      <c r="P303" s="49">
        <v>80.16</v>
      </c>
      <c r="Q303" s="49">
        <v>39.840000000000003</v>
      </c>
      <c r="R303" s="49">
        <v>0.33200000000000002</v>
      </c>
      <c r="S303" s="49">
        <v>0.66800000000000004</v>
      </c>
      <c r="T303" s="49">
        <v>72</v>
      </c>
      <c r="U303" s="49">
        <v>0.127</v>
      </c>
      <c r="V303" s="49">
        <v>0</v>
      </c>
      <c r="W303" s="50">
        <v>0</v>
      </c>
      <c r="X303" s="43"/>
      <c r="Y303" s="43"/>
      <c r="Z303" s="43"/>
      <c r="AA303" s="43"/>
      <c r="AB303" s="43"/>
      <c r="AC303" s="43"/>
    </row>
    <row r="304" spans="1:29" x14ac:dyDescent="0.3">
      <c r="A304" s="43"/>
      <c r="B304" s="45" t="s">
        <v>445</v>
      </c>
      <c r="C304" s="48">
        <v>45988</v>
      </c>
      <c r="D304" s="49" t="s">
        <v>140</v>
      </c>
      <c r="E304" s="49" t="s">
        <v>71</v>
      </c>
      <c r="F304" s="49" t="s">
        <v>76</v>
      </c>
      <c r="G304" s="49" t="s">
        <v>144</v>
      </c>
      <c r="H304" s="49" t="s">
        <v>79</v>
      </c>
      <c r="I304" s="49" t="s">
        <v>83</v>
      </c>
      <c r="J304" s="49" t="s">
        <v>86</v>
      </c>
      <c r="K304" s="49">
        <v>2</v>
      </c>
      <c r="L304" s="49">
        <v>150</v>
      </c>
      <c r="M304" s="49">
        <v>0.08</v>
      </c>
      <c r="N304" s="49">
        <v>300</v>
      </c>
      <c r="O304" s="49">
        <v>276</v>
      </c>
      <c r="P304" s="49">
        <v>161.72999999999999</v>
      </c>
      <c r="Q304" s="49">
        <v>114.27</v>
      </c>
      <c r="R304" s="49">
        <v>0.41399999999999998</v>
      </c>
      <c r="S304" s="49">
        <v>0.58599999999999997</v>
      </c>
      <c r="T304" s="49">
        <v>325</v>
      </c>
      <c r="U304" s="49">
        <v>0.25559999999999999</v>
      </c>
      <c r="V304" s="49">
        <v>0</v>
      </c>
      <c r="W304" s="50">
        <v>0</v>
      </c>
      <c r="X304" s="43"/>
      <c r="Y304" s="43"/>
      <c r="Z304" s="43"/>
      <c r="AA304" s="43"/>
      <c r="AB304" s="43"/>
      <c r="AC304" s="43"/>
    </row>
    <row r="305" spans="1:29" x14ac:dyDescent="0.3">
      <c r="A305" s="43"/>
      <c r="B305" s="45" t="s">
        <v>446</v>
      </c>
      <c r="C305" s="48">
        <v>45917</v>
      </c>
      <c r="D305" s="49" t="s">
        <v>161</v>
      </c>
      <c r="E305" s="49" t="s">
        <v>68</v>
      </c>
      <c r="F305" s="49" t="s">
        <v>72</v>
      </c>
      <c r="G305" s="49" t="s">
        <v>144</v>
      </c>
      <c r="H305" s="49" t="s">
        <v>82</v>
      </c>
      <c r="I305" s="49" t="s">
        <v>83</v>
      </c>
      <c r="J305" s="49" t="s">
        <v>86</v>
      </c>
      <c r="K305" s="49">
        <v>7</v>
      </c>
      <c r="L305" s="49">
        <v>200</v>
      </c>
      <c r="M305" s="49">
        <v>0</v>
      </c>
      <c r="N305" s="49">
        <v>1400</v>
      </c>
      <c r="O305" s="49">
        <v>1400</v>
      </c>
      <c r="P305" s="49">
        <v>769.05</v>
      </c>
      <c r="Q305" s="49">
        <v>630.95000000000005</v>
      </c>
      <c r="R305" s="49">
        <v>0.45069999999999999</v>
      </c>
      <c r="S305" s="49">
        <v>0.54930000000000001</v>
      </c>
      <c r="T305" s="49">
        <v>1727</v>
      </c>
      <c r="U305" s="49">
        <v>2.0832999999999999</v>
      </c>
      <c r="V305" s="49">
        <v>0</v>
      </c>
      <c r="W305" s="50">
        <v>0</v>
      </c>
      <c r="X305" s="43"/>
      <c r="Y305" s="43"/>
      <c r="Z305" s="43"/>
      <c r="AA305" s="43"/>
      <c r="AB305" s="43"/>
      <c r="AC305" s="43"/>
    </row>
    <row r="306" spans="1:29" x14ac:dyDescent="0.3">
      <c r="A306" s="43"/>
      <c r="B306" s="45" t="s">
        <v>447</v>
      </c>
      <c r="C306" s="48">
        <v>45582</v>
      </c>
      <c r="D306" s="49" t="s">
        <v>161</v>
      </c>
      <c r="E306" s="49" t="s">
        <v>68</v>
      </c>
      <c r="F306" s="49" t="s">
        <v>73</v>
      </c>
      <c r="G306" s="49" t="s">
        <v>153</v>
      </c>
      <c r="H306" s="49" t="s">
        <v>82</v>
      </c>
      <c r="I306" s="49" t="s">
        <v>83</v>
      </c>
      <c r="J306" s="49" t="s">
        <v>81</v>
      </c>
      <c r="K306" s="49">
        <v>5</v>
      </c>
      <c r="L306" s="49">
        <v>80</v>
      </c>
      <c r="M306" s="49">
        <v>0.05</v>
      </c>
      <c r="N306" s="49">
        <v>400</v>
      </c>
      <c r="O306" s="49">
        <v>380</v>
      </c>
      <c r="P306" s="49">
        <v>298.08999999999997</v>
      </c>
      <c r="Q306" s="49">
        <v>81.91</v>
      </c>
      <c r="R306" s="49">
        <v>0.21560000000000001</v>
      </c>
      <c r="S306" s="49">
        <v>0.78439999999999999</v>
      </c>
      <c r="T306" s="49">
        <v>403</v>
      </c>
      <c r="U306" s="49">
        <v>0.39579999999999999</v>
      </c>
      <c r="V306" s="49">
        <v>1</v>
      </c>
      <c r="W306" s="50">
        <v>0.2</v>
      </c>
      <c r="X306" s="43"/>
      <c r="Y306" s="43"/>
      <c r="Z306" s="43"/>
      <c r="AA306" s="43"/>
      <c r="AB306" s="43"/>
      <c r="AC306" s="43"/>
    </row>
    <row r="307" spans="1:29" x14ac:dyDescent="0.3">
      <c r="A307" s="43"/>
      <c r="B307" s="45" t="s">
        <v>448</v>
      </c>
      <c r="C307" s="48">
        <v>45820</v>
      </c>
      <c r="D307" s="49" t="s">
        <v>161</v>
      </c>
      <c r="E307" s="49" t="s">
        <v>68</v>
      </c>
      <c r="F307" s="49" t="s">
        <v>73</v>
      </c>
      <c r="G307" s="49" t="s">
        <v>141</v>
      </c>
      <c r="H307" s="49" t="s">
        <v>82</v>
      </c>
      <c r="I307" s="49" t="s">
        <v>83</v>
      </c>
      <c r="J307" s="49" t="s">
        <v>81</v>
      </c>
      <c r="K307" s="49">
        <v>4</v>
      </c>
      <c r="L307" s="49">
        <v>150</v>
      </c>
      <c r="M307" s="49">
        <v>0.1</v>
      </c>
      <c r="N307" s="49">
        <v>600</v>
      </c>
      <c r="O307" s="49">
        <v>540</v>
      </c>
      <c r="P307" s="49">
        <v>350.26</v>
      </c>
      <c r="Q307" s="49">
        <v>189.74</v>
      </c>
      <c r="R307" s="49">
        <v>0.35139999999999999</v>
      </c>
      <c r="S307" s="49">
        <v>0.64859999999999995</v>
      </c>
      <c r="T307" s="49">
        <v>666</v>
      </c>
      <c r="U307" s="49">
        <v>0.64290000000000003</v>
      </c>
      <c r="V307" s="49">
        <v>0</v>
      </c>
      <c r="W307" s="50">
        <v>0</v>
      </c>
      <c r="X307" s="43"/>
      <c r="Y307" s="43"/>
      <c r="Z307" s="43"/>
      <c r="AA307" s="43"/>
      <c r="AB307" s="43"/>
      <c r="AC307" s="43"/>
    </row>
    <row r="308" spans="1:29" x14ac:dyDescent="0.3">
      <c r="A308" s="43"/>
      <c r="B308" s="45" t="s">
        <v>449</v>
      </c>
      <c r="C308" s="48">
        <v>45505</v>
      </c>
      <c r="D308" s="49" t="s">
        <v>143</v>
      </c>
      <c r="E308" s="49" t="s">
        <v>69</v>
      </c>
      <c r="F308" s="49" t="s">
        <v>72</v>
      </c>
      <c r="G308" s="49" t="s">
        <v>141</v>
      </c>
      <c r="H308" s="49" t="s">
        <v>84</v>
      </c>
      <c r="I308" s="49" t="s">
        <v>83</v>
      </c>
      <c r="J308" s="49" t="s">
        <v>86</v>
      </c>
      <c r="K308" s="49">
        <v>4</v>
      </c>
      <c r="L308" s="49">
        <v>40</v>
      </c>
      <c r="M308" s="49">
        <v>0.03</v>
      </c>
      <c r="N308" s="49">
        <v>160</v>
      </c>
      <c r="O308" s="49">
        <v>155.19999999999999</v>
      </c>
      <c r="P308" s="49">
        <v>89.01</v>
      </c>
      <c r="Q308" s="49">
        <v>66.19</v>
      </c>
      <c r="R308" s="49">
        <v>0.42649999999999999</v>
      </c>
      <c r="S308" s="49">
        <v>0.57350000000000001</v>
      </c>
      <c r="T308" s="49">
        <v>115</v>
      </c>
      <c r="U308" s="49">
        <v>0.23100000000000001</v>
      </c>
      <c r="V308" s="49">
        <v>0</v>
      </c>
      <c r="W308" s="50">
        <v>0</v>
      </c>
      <c r="X308" s="43"/>
      <c r="Y308" s="43"/>
      <c r="Z308" s="43"/>
      <c r="AA308" s="43"/>
      <c r="AB308" s="43"/>
      <c r="AC308" s="43"/>
    </row>
    <row r="309" spans="1:29" x14ac:dyDescent="0.3">
      <c r="A309" s="43"/>
      <c r="B309" s="45" t="s">
        <v>450</v>
      </c>
      <c r="C309" s="48">
        <v>45369</v>
      </c>
      <c r="D309" s="49" t="s">
        <v>140</v>
      </c>
      <c r="E309" s="49" t="s">
        <v>71</v>
      </c>
      <c r="F309" s="49" t="s">
        <v>76</v>
      </c>
      <c r="G309" s="49" t="s">
        <v>183</v>
      </c>
      <c r="H309" s="49" t="s">
        <v>84</v>
      </c>
      <c r="I309" s="49" t="s">
        <v>83</v>
      </c>
      <c r="J309" s="49" t="s">
        <v>81</v>
      </c>
      <c r="K309" s="49">
        <v>4</v>
      </c>
      <c r="L309" s="49">
        <v>80</v>
      </c>
      <c r="M309" s="49">
        <v>0.05</v>
      </c>
      <c r="N309" s="49">
        <v>320</v>
      </c>
      <c r="O309" s="49">
        <v>304</v>
      </c>
      <c r="P309" s="49">
        <v>180.86</v>
      </c>
      <c r="Q309" s="49">
        <v>123.14</v>
      </c>
      <c r="R309" s="49">
        <v>0.40510000000000002</v>
      </c>
      <c r="S309" s="49">
        <v>0.59489999999999998</v>
      </c>
      <c r="T309" s="49">
        <v>372</v>
      </c>
      <c r="U309" s="49">
        <v>0.33779999999999999</v>
      </c>
      <c r="V309" s="49">
        <v>0</v>
      </c>
      <c r="W309" s="50">
        <v>0</v>
      </c>
      <c r="X309" s="43"/>
      <c r="Y309" s="43"/>
      <c r="Z309" s="43"/>
      <c r="AA309" s="43"/>
      <c r="AB309" s="43"/>
      <c r="AC309" s="43"/>
    </row>
    <row r="310" spans="1:29" x14ac:dyDescent="0.3">
      <c r="A310" s="43"/>
      <c r="B310" s="45" t="s">
        <v>451</v>
      </c>
      <c r="C310" s="48">
        <v>45580</v>
      </c>
      <c r="D310" s="49" t="s">
        <v>161</v>
      </c>
      <c r="E310" s="49" t="s">
        <v>68</v>
      </c>
      <c r="F310" s="49" t="s">
        <v>75</v>
      </c>
      <c r="G310" s="49" t="s">
        <v>138</v>
      </c>
      <c r="H310" s="49" t="s">
        <v>85</v>
      </c>
      <c r="I310" s="49" t="s">
        <v>80</v>
      </c>
      <c r="J310" s="49" t="s">
        <v>81</v>
      </c>
      <c r="K310" s="49">
        <v>7</v>
      </c>
      <c r="L310" s="49">
        <v>100</v>
      </c>
      <c r="M310" s="49">
        <v>0</v>
      </c>
      <c r="N310" s="49">
        <v>700</v>
      </c>
      <c r="O310" s="49">
        <v>700</v>
      </c>
      <c r="P310" s="49">
        <v>504.33</v>
      </c>
      <c r="Q310" s="49">
        <v>195.67</v>
      </c>
      <c r="R310" s="49">
        <v>0.27950000000000003</v>
      </c>
      <c r="S310" s="49">
        <v>0.72050000000000003</v>
      </c>
      <c r="T310" s="49">
        <v>414</v>
      </c>
      <c r="U310" s="49">
        <v>0.89739999999999998</v>
      </c>
      <c r="V310" s="49">
        <v>0</v>
      </c>
      <c r="W310" s="50">
        <v>0</v>
      </c>
      <c r="X310" s="43"/>
      <c r="Y310" s="43"/>
      <c r="Z310" s="43"/>
      <c r="AA310" s="43"/>
      <c r="AB310" s="43"/>
      <c r="AC310" s="43"/>
    </row>
    <row r="311" spans="1:29" x14ac:dyDescent="0.3">
      <c r="A311" s="43"/>
      <c r="B311" s="45" t="s">
        <v>452</v>
      </c>
      <c r="C311" s="48">
        <v>45766</v>
      </c>
      <c r="D311" s="49" t="s">
        <v>149</v>
      </c>
      <c r="E311" s="49" t="s">
        <v>70</v>
      </c>
      <c r="F311" s="49" t="s">
        <v>75</v>
      </c>
      <c r="G311" s="49" t="s">
        <v>153</v>
      </c>
      <c r="H311" s="49" t="s">
        <v>85</v>
      </c>
      <c r="I311" s="49" t="s">
        <v>83</v>
      </c>
      <c r="J311" s="49" t="s">
        <v>81</v>
      </c>
      <c r="K311" s="49">
        <v>6</v>
      </c>
      <c r="L311" s="49">
        <v>750</v>
      </c>
      <c r="M311" s="49">
        <v>0.08</v>
      </c>
      <c r="N311" s="49">
        <v>4500</v>
      </c>
      <c r="O311" s="49">
        <v>4140</v>
      </c>
      <c r="P311" s="49">
        <v>2473.27</v>
      </c>
      <c r="Q311" s="49">
        <v>1666.73</v>
      </c>
      <c r="R311" s="49">
        <v>0.40260000000000001</v>
      </c>
      <c r="S311" s="49">
        <v>0.59740000000000004</v>
      </c>
      <c r="T311" s="49">
        <v>2475</v>
      </c>
      <c r="U311" s="49">
        <v>6.0704000000000002</v>
      </c>
      <c r="V311" s="49">
        <v>0</v>
      </c>
      <c r="W311" s="50">
        <v>0</v>
      </c>
      <c r="X311" s="43"/>
      <c r="Y311" s="43"/>
      <c r="Z311" s="43"/>
      <c r="AA311" s="43"/>
      <c r="AB311" s="43"/>
      <c r="AC311" s="43"/>
    </row>
    <row r="312" spans="1:29" x14ac:dyDescent="0.3">
      <c r="A312" s="43"/>
      <c r="B312" s="45" t="s">
        <v>453</v>
      </c>
      <c r="C312" s="48">
        <v>45322</v>
      </c>
      <c r="D312" s="49" t="s">
        <v>143</v>
      </c>
      <c r="E312" s="49" t="s">
        <v>69</v>
      </c>
      <c r="F312" s="49" t="s">
        <v>74</v>
      </c>
      <c r="G312" s="49" t="s">
        <v>141</v>
      </c>
      <c r="H312" s="49" t="s">
        <v>79</v>
      </c>
      <c r="I312" s="49" t="s">
        <v>80</v>
      </c>
      <c r="J312" s="49" t="s">
        <v>81</v>
      </c>
      <c r="K312" s="49">
        <v>5</v>
      </c>
      <c r="L312" s="49">
        <v>500</v>
      </c>
      <c r="M312" s="49">
        <v>0.05</v>
      </c>
      <c r="N312" s="49">
        <v>2500</v>
      </c>
      <c r="O312" s="49">
        <v>2375</v>
      </c>
      <c r="P312" s="49">
        <v>1708.65</v>
      </c>
      <c r="Q312" s="49">
        <v>666.35</v>
      </c>
      <c r="R312" s="49">
        <v>0.28060000000000002</v>
      </c>
      <c r="S312" s="49">
        <v>0.71940000000000004</v>
      </c>
      <c r="T312" s="49">
        <v>1099</v>
      </c>
      <c r="U312" s="49">
        <v>3.1667000000000001</v>
      </c>
      <c r="V312" s="49">
        <v>0</v>
      </c>
      <c r="W312" s="50">
        <v>0</v>
      </c>
      <c r="X312" s="43"/>
      <c r="Y312" s="43"/>
      <c r="Z312" s="43"/>
      <c r="AA312" s="43"/>
      <c r="AB312" s="43"/>
      <c r="AC312" s="43"/>
    </row>
    <row r="313" spans="1:29" x14ac:dyDescent="0.3">
      <c r="A313" s="43"/>
      <c r="B313" s="45" t="s">
        <v>454</v>
      </c>
      <c r="C313" s="48">
        <v>45453</v>
      </c>
      <c r="D313" s="49" t="s">
        <v>143</v>
      </c>
      <c r="E313" s="49" t="s">
        <v>69</v>
      </c>
      <c r="F313" s="49" t="s">
        <v>72</v>
      </c>
      <c r="G313" s="49" t="s">
        <v>138</v>
      </c>
      <c r="H313" s="49" t="s">
        <v>84</v>
      </c>
      <c r="I313" s="49" t="s">
        <v>83</v>
      </c>
      <c r="J313" s="49" t="s">
        <v>86</v>
      </c>
      <c r="K313" s="49">
        <v>3</v>
      </c>
      <c r="L313" s="49">
        <v>200</v>
      </c>
      <c r="M313" s="49">
        <v>0.08</v>
      </c>
      <c r="N313" s="49">
        <v>600</v>
      </c>
      <c r="O313" s="49">
        <v>552</v>
      </c>
      <c r="P313" s="49">
        <v>315.58</v>
      </c>
      <c r="Q313" s="49">
        <v>236.42</v>
      </c>
      <c r="R313" s="49">
        <v>0.42830000000000001</v>
      </c>
      <c r="S313" s="49">
        <v>0.57169999999999999</v>
      </c>
      <c r="T313" s="49">
        <v>674</v>
      </c>
      <c r="U313" s="49">
        <v>0.87619999999999998</v>
      </c>
      <c r="V313" s="49">
        <v>0</v>
      </c>
      <c r="W313" s="50">
        <v>0</v>
      </c>
      <c r="X313" s="43"/>
      <c r="Y313" s="43"/>
      <c r="Z313" s="43"/>
      <c r="AA313" s="43"/>
      <c r="AB313" s="43"/>
      <c r="AC313" s="43"/>
    </row>
    <row r="314" spans="1:29" x14ac:dyDescent="0.3">
      <c r="A314" s="43"/>
      <c r="B314" s="45" t="s">
        <v>455</v>
      </c>
      <c r="C314" s="48">
        <v>45392</v>
      </c>
      <c r="D314" s="49" t="s">
        <v>161</v>
      </c>
      <c r="E314" s="49" t="s">
        <v>68</v>
      </c>
      <c r="F314" s="49" t="s">
        <v>74</v>
      </c>
      <c r="G314" s="49" t="s">
        <v>144</v>
      </c>
      <c r="H314" s="49" t="s">
        <v>82</v>
      </c>
      <c r="I314" s="49" t="s">
        <v>80</v>
      </c>
      <c r="J314" s="49" t="s">
        <v>81</v>
      </c>
      <c r="K314" s="49">
        <v>5</v>
      </c>
      <c r="L314" s="49">
        <v>25</v>
      </c>
      <c r="M314" s="49">
        <v>0.15</v>
      </c>
      <c r="N314" s="49">
        <v>125</v>
      </c>
      <c r="O314" s="49">
        <v>106.25</v>
      </c>
      <c r="P314" s="49">
        <v>71.36</v>
      </c>
      <c r="Q314" s="49">
        <v>34.89</v>
      </c>
      <c r="R314" s="49">
        <v>0.32840000000000003</v>
      </c>
      <c r="S314" s="49">
        <v>0.67159999999999997</v>
      </c>
      <c r="T314" s="49">
        <v>205</v>
      </c>
      <c r="U314" s="49">
        <v>0.1348</v>
      </c>
      <c r="V314" s="49">
        <v>0</v>
      </c>
      <c r="W314" s="50">
        <v>0</v>
      </c>
      <c r="X314" s="43"/>
      <c r="Y314" s="43"/>
      <c r="Z314" s="43"/>
      <c r="AA314" s="43"/>
      <c r="AB314" s="43"/>
      <c r="AC314" s="43"/>
    </row>
    <row r="315" spans="1:29" x14ac:dyDescent="0.3">
      <c r="A315" s="43"/>
      <c r="B315" s="45" t="s">
        <v>456</v>
      </c>
      <c r="C315" s="48">
        <v>45663</v>
      </c>
      <c r="D315" s="49" t="s">
        <v>149</v>
      </c>
      <c r="E315" s="49" t="s">
        <v>70</v>
      </c>
      <c r="F315" s="49" t="s">
        <v>72</v>
      </c>
      <c r="G315" s="49" t="s">
        <v>144</v>
      </c>
      <c r="H315" s="49" t="s">
        <v>84</v>
      </c>
      <c r="I315" s="49" t="s">
        <v>83</v>
      </c>
      <c r="J315" s="49" t="s">
        <v>81</v>
      </c>
      <c r="K315" s="49">
        <v>1</v>
      </c>
      <c r="L315" s="49">
        <v>150</v>
      </c>
      <c r="M315" s="49">
        <v>0.1</v>
      </c>
      <c r="N315" s="49">
        <v>150</v>
      </c>
      <c r="O315" s="49">
        <v>135</v>
      </c>
      <c r="P315" s="49">
        <v>71.150000000000006</v>
      </c>
      <c r="Q315" s="49">
        <v>63.85</v>
      </c>
      <c r="R315" s="49">
        <v>0.47299999999999998</v>
      </c>
      <c r="S315" s="49">
        <v>0.52700000000000002</v>
      </c>
      <c r="T315" s="49">
        <v>164</v>
      </c>
      <c r="U315" s="49">
        <v>0.22500000000000001</v>
      </c>
      <c r="V315" s="49">
        <v>0</v>
      </c>
      <c r="W315" s="50">
        <v>0</v>
      </c>
      <c r="X315" s="43"/>
      <c r="Y315" s="43"/>
      <c r="Z315" s="43"/>
      <c r="AA315" s="43"/>
      <c r="AB315" s="43"/>
      <c r="AC315" s="43"/>
    </row>
    <row r="316" spans="1:29" x14ac:dyDescent="0.3">
      <c r="A316" s="43"/>
      <c r="B316" s="45" t="s">
        <v>457</v>
      </c>
      <c r="C316" s="48">
        <v>45774</v>
      </c>
      <c r="D316" s="49" t="s">
        <v>161</v>
      </c>
      <c r="E316" s="49" t="s">
        <v>68</v>
      </c>
      <c r="F316" s="49" t="s">
        <v>75</v>
      </c>
      <c r="G316" s="49" t="s">
        <v>147</v>
      </c>
      <c r="H316" s="49" t="s">
        <v>85</v>
      </c>
      <c r="I316" s="49" t="s">
        <v>83</v>
      </c>
      <c r="J316" s="49" t="s">
        <v>81</v>
      </c>
      <c r="K316" s="49">
        <v>5</v>
      </c>
      <c r="L316" s="49">
        <v>60</v>
      </c>
      <c r="M316" s="49">
        <v>0.05</v>
      </c>
      <c r="N316" s="49">
        <v>300</v>
      </c>
      <c r="O316" s="49">
        <v>285</v>
      </c>
      <c r="P316" s="49">
        <v>155.4</v>
      </c>
      <c r="Q316" s="49">
        <v>129.6</v>
      </c>
      <c r="R316" s="49">
        <v>0.45469999999999999</v>
      </c>
      <c r="S316" s="49">
        <v>0.54530000000000001</v>
      </c>
      <c r="T316" s="49">
        <v>329</v>
      </c>
      <c r="U316" s="49">
        <v>0.41789999999999999</v>
      </c>
      <c r="V316" s="49">
        <v>0</v>
      </c>
      <c r="W316" s="50">
        <v>0</v>
      </c>
      <c r="X316" s="43"/>
      <c r="Y316" s="43"/>
      <c r="Z316" s="43"/>
      <c r="AA316" s="43"/>
      <c r="AB316" s="43"/>
      <c r="AC316" s="43"/>
    </row>
    <row r="317" spans="1:29" x14ac:dyDescent="0.3">
      <c r="A317" s="43"/>
      <c r="B317" s="45" t="s">
        <v>458</v>
      </c>
      <c r="C317" s="48">
        <v>45651</v>
      </c>
      <c r="D317" s="49" t="s">
        <v>161</v>
      </c>
      <c r="E317" s="49" t="s">
        <v>68</v>
      </c>
      <c r="F317" s="49" t="s">
        <v>76</v>
      </c>
      <c r="G317" s="49" t="s">
        <v>147</v>
      </c>
      <c r="H317" s="49" t="s">
        <v>79</v>
      </c>
      <c r="I317" s="49" t="s">
        <v>80</v>
      </c>
      <c r="J317" s="49" t="s">
        <v>86</v>
      </c>
      <c r="K317" s="49">
        <v>5</v>
      </c>
      <c r="L317" s="49">
        <v>750</v>
      </c>
      <c r="M317" s="49">
        <v>0</v>
      </c>
      <c r="N317" s="49">
        <v>3750</v>
      </c>
      <c r="O317" s="49">
        <v>3750</v>
      </c>
      <c r="P317" s="49">
        <v>2869.02</v>
      </c>
      <c r="Q317" s="49">
        <v>880.98</v>
      </c>
      <c r="R317" s="49">
        <v>0.2349</v>
      </c>
      <c r="S317" s="49">
        <v>0.7651</v>
      </c>
      <c r="T317" s="49">
        <v>2945</v>
      </c>
      <c r="U317" s="49">
        <v>3.4722</v>
      </c>
      <c r="V317" s="49">
        <v>1</v>
      </c>
      <c r="W317" s="50">
        <v>0.2</v>
      </c>
      <c r="X317" s="43"/>
      <c r="Y317" s="43"/>
      <c r="Z317" s="43"/>
      <c r="AA317" s="43"/>
      <c r="AB317" s="43"/>
      <c r="AC317" s="43"/>
    </row>
    <row r="318" spans="1:29" x14ac:dyDescent="0.3">
      <c r="A318" s="43"/>
      <c r="B318" s="45" t="s">
        <v>459</v>
      </c>
      <c r="C318" s="48">
        <v>45493</v>
      </c>
      <c r="D318" s="49" t="s">
        <v>151</v>
      </c>
      <c r="E318" s="49" t="s">
        <v>70</v>
      </c>
      <c r="F318" s="49" t="s">
        <v>76</v>
      </c>
      <c r="G318" s="49" t="s">
        <v>144</v>
      </c>
      <c r="H318" s="49" t="s">
        <v>79</v>
      </c>
      <c r="I318" s="49" t="s">
        <v>83</v>
      </c>
      <c r="J318" s="49" t="s">
        <v>81</v>
      </c>
      <c r="K318" s="49">
        <v>4</v>
      </c>
      <c r="L318" s="49">
        <v>750</v>
      </c>
      <c r="M318" s="49">
        <v>0</v>
      </c>
      <c r="N318" s="49">
        <v>3000</v>
      </c>
      <c r="O318" s="49">
        <v>3000</v>
      </c>
      <c r="P318" s="49">
        <v>2363.12</v>
      </c>
      <c r="Q318" s="49">
        <v>636.88</v>
      </c>
      <c r="R318" s="49">
        <v>0.21229999999999999</v>
      </c>
      <c r="S318" s="49">
        <v>0.78769999999999996</v>
      </c>
      <c r="T318" s="49">
        <v>3600</v>
      </c>
      <c r="U318" s="49">
        <v>2.9762</v>
      </c>
      <c r="V318" s="49">
        <v>0</v>
      </c>
      <c r="W318" s="50">
        <v>0</v>
      </c>
      <c r="X318" s="43"/>
      <c r="Y318" s="43"/>
      <c r="Z318" s="43"/>
      <c r="AA318" s="43"/>
      <c r="AB318" s="43"/>
      <c r="AC318" s="43"/>
    </row>
    <row r="319" spans="1:29" x14ac:dyDescent="0.3">
      <c r="A319" s="43"/>
      <c r="B319" s="45" t="s">
        <v>460</v>
      </c>
      <c r="C319" s="48">
        <v>45912</v>
      </c>
      <c r="D319" s="49" t="s">
        <v>161</v>
      </c>
      <c r="E319" s="49" t="s">
        <v>68</v>
      </c>
      <c r="F319" s="49" t="s">
        <v>76</v>
      </c>
      <c r="G319" s="49" t="s">
        <v>138</v>
      </c>
      <c r="H319" s="49" t="s">
        <v>79</v>
      </c>
      <c r="I319" s="49" t="s">
        <v>83</v>
      </c>
      <c r="J319" s="49" t="s">
        <v>86</v>
      </c>
      <c r="K319" s="49">
        <v>5</v>
      </c>
      <c r="L319" s="49">
        <v>80</v>
      </c>
      <c r="M319" s="49">
        <v>0.15</v>
      </c>
      <c r="N319" s="49">
        <v>400</v>
      </c>
      <c r="O319" s="49">
        <v>340</v>
      </c>
      <c r="P319" s="49">
        <v>192.29</v>
      </c>
      <c r="Q319" s="49">
        <v>147.71</v>
      </c>
      <c r="R319" s="49">
        <v>0.43440000000000001</v>
      </c>
      <c r="S319" s="49">
        <v>0.56559999999999999</v>
      </c>
      <c r="T319" s="49">
        <v>397</v>
      </c>
      <c r="U319" s="49">
        <v>0.33729999999999999</v>
      </c>
      <c r="V319" s="49">
        <v>0</v>
      </c>
      <c r="W319" s="50">
        <v>0</v>
      </c>
      <c r="X319" s="43"/>
      <c r="Y319" s="43"/>
      <c r="Z319" s="43"/>
      <c r="AA319" s="43"/>
      <c r="AB319" s="43"/>
      <c r="AC319" s="43"/>
    </row>
    <row r="320" spans="1:29" x14ac:dyDescent="0.3">
      <c r="A320" s="43"/>
      <c r="B320" s="45" t="s">
        <v>461</v>
      </c>
      <c r="C320" s="48">
        <v>45682</v>
      </c>
      <c r="D320" s="49" t="s">
        <v>137</v>
      </c>
      <c r="E320" s="49" t="s">
        <v>71</v>
      </c>
      <c r="F320" s="49" t="s">
        <v>76</v>
      </c>
      <c r="G320" s="49" t="s">
        <v>153</v>
      </c>
      <c r="H320" s="49" t="s">
        <v>79</v>
      </c>
      <c r="I320" s="49" t="s">
        <v>83</v>
      </c>
      <c r="J320" s="49" t="s">
        <v>81</v>
      </c>
      <c r="K320" s="49">
        <v>4</v>
      </c>
      <c r="L320" s="49">
        <v>500</v>
      </c>
      <c r="M320" s="49">
        <v>0</v>
      </c>
      <c r="N320" s="49">
        <v>2000</v>
      </c>
      <c r="O320" s="49">
        <v>2000</v>
      </c>
      <c r="P320" s="49">
        <v>1328.57</v>
      </c>
      <c r="Q320" s="49">
        <v>671.43</v>
      </c>
      <c r="R320" s="49">
        <v>0.3357</v>
      </c>
      <c r="S320" s="49">
        <v>0.6643</v>
      </c>
      <c r="T320" s="49">
        <v>1723</v>
      </c>
      <c r="U320" s="49">
        <v>2.2222</v>
      </c>
      <c r="V320" s="49">
        <v>0</v>
      </c>
      <c r="W320" s="50">
        <v>0</v>
      </c>
      <c r="X320" s="43"/>
      <c r="Y320" s="43"/>
      <c r="Z320" s="43"/>
      <c r="AA320" s="43"/>
      <c r="AB320" s="43"/>
      <c r="AC320" s="43"/>
    </row>
    <row r="321" spans="1:29" x14ac:dyDescent="0.3">
      <c r="A321" s="43"/>
      <c r="B321" s="45" t="s">
        <v>462</v>
      </c>
      <c r="C321" s="48">
        <v>45461</v>
      </c>
      <c r="D321" s="49" t="s">
        <v>149</v>
      </c>
      <c r="E321" s="49" t="s">
        <v>70</v>
      </c>
      <c r="F321" s="49" t="s">
        <v>76</v>
      </c>
      <c r="G321" s="49" t="s">
        <v>144</v>
      </c>
      <c r="H321" s="49" t="s">
        <v>84</v>
      </c>
      <c r="I321" s="49" t="s">
        <v>83</v>
      </c>
      <c r="J321" s="49" t="s">
        <v>81</v>
      </c>
      <c r="K321" s="49">
        <v>1</v>
      </c>
      <c r="L321" s="49">
        <v>750</v>
      </c>
      <c r="M321" s="49">
        <v>0.08</v>
      </c>
      <c r="N321" s="49">
        <v>750</v>
      </c>
      <c r="O321" s="49">
        <v>690</v>
      </c>
      <c r="P321" s="49">
        <v>450.11</v>
      </c>
      <c r="Q321" s="49">
        <v>239.89</v>
      </c>
      <c r="R321" s="49">
        <v>0.34770000000000001</v>
      </c>
      <c r="S321" s="49">
        <v>0.65229999999999999</v>
      </c>
      <c r="T321" s="49">
        <v>843</v>
      </c>
      <c r="U321" s="49">
        <v>0.73019999999999996</v>
      </c>
      <c r="V321" s="49">
        <v>0</v>
      </c>
      <c r="W321" s="50">
        <v>0</v>
      </c>
      <c r="X321" s="43"/>
      <c r="Y321" s="43"/>
      <c r="Z321" s="43"/>
      <c r="AA321" s="43"/>
      <c r="AB321" s="43"/>
      <c r="AC321" s="43"/>
    </row>
    <row r="322" spans="1:29" x14ac:dyDescent="0.3">
      <c r="A322" s="43"/>
      <c r="B322" s="45" t="s">
        <v>463</v>
      </c>
      <c r="C322" s="48">
        <v>45828</v>
      </c>
      <c r="D322" s="49" t="s">
        <v>143</v>
      </c>
      <c r="E322" s="49" t="s">
        <v>69</v>
      </c>
      <c r="F322" s="49" t="s">
        <v>75</v>
      </c>
      <c r="G322" s="49" t="s">
        <v>153</v>
      </c>
      <c r="H322" s="49" t="s">
        <v>85</v>
      </c>
      <c r="I322" s="49" t="s">
        <v>83</v>
      </c>
      <c r="J322" s="49" t="s">
        <v>86</v>
      </c>
      <c r="K322" s="49">
        <v>2</v>
      </c>
      <c r="L322" s="49">
        <v>750</v>
      </c>
      <c r="M322" s="49">
        <v>0.08</v>
      </c>
      <c r="N322" s="49">
        <v>1500</v>
      </c>
      <c r="O322" s="49">
        <v>1380</v>
      </c>
      <c r="P322" s="49">
        <v>787.19</v>
      </c>
      <c r="Q322" s="49">
        <v>592.80999999999995</v>
      </c>
      <c r="R322" s="49">
        <v>0.42959999999999998</v>
      </c>
      <c r="S322" s="49">
        <v>0.57040000000000002</v>
      </c>
      <c r="T322" s="49">
        <v>812</v>
      </c>
      <c r="U322" s="49">
        <v>2.0234999999999999</v>
      </c>
      <c r="V322" s="49">
        <v>0</v>
      </c>
      <c r="W322" s="50">
        <v>0</v>
      </c>
      <c r="X322" s="43"/>
      <c r="Y322" s="43"/>
      <c r="Z322" s="43"/>
      <c r="AA322" s="43"/>
      <c r="AB322" s="43"/>
      <c r="AC322" s="43"/>
    </row>
    <row r="323" spans="1:29" x14ac:dyDescent="0.3">
      <c r="A323" s="43"/>
      <c r="B323" s="45" t="s">
        <v>464</v>
      </c>
      <c r="C323" s="48">
        <v>45997</v>
      </c>
      <c r="D323" s="49" t="s">
        <v>140</v>
      </c>
      <c r="E323" s="49" t="s">
        <v>71</v>
      </c>
      <c r="F323" s="49" t="s">
        <v>76</v>
      </c>
      <c r="G323" s="49" t="s">
        <v>138</v>
      </c>
      <c r="H323" s="49" t="s">
        <v>84</v>
      </c>
      <c r="I323" s="49" t="s">
        <v>83</v>
      </c>
      <c r="J323" s="49" t="s">
        <v>81</v>
      </c>
      <c r="K323" s="49">
        <v>1</v>
      </c>
      <c r="L323" s="49">
        <v>40</v>
      </c>
      <c r="M323" s="49">
        <v>0</v>
      </c>
      <c r="N323" s="49">
        <v>40</v>
      </c>
      <c r="O323" s="49">
        <v>40</v>
      </c>
      <c r="P323" s="49">
        <v>27.25</v>
      </c>
      <c r="Q323" s="49">
        <v>12.75</v>
      </c>
      <c r="R323" s="49">
        <v>0.31879999999999997</v>
      </c>
      <c r="S323" s="49">
        <v>0.68120000000000003</v>
      </c>
      <c r="T323" s="49">
        <v>47</v>
      </c>
      <c r="U323" s="49">
        <v>3.6999999999999998E-2</v>
      </c>
      <c r="V323" s="49">
        <v>0</v>
      </c>
      <c r="W323" s="50">
        <v>0</v>
      </c>
      <c r="X323" s="43"/>
      <c r="Y323" s="43"/>
      <c r="Z323" s="43"/>
      <c r="AA323" s="43"/>
      <c r="AB323" s="43"/>
      <c r="AC323" s="43"/>
    </row>
    <row r="324" spans="1:29" x14ac:dyDescent="0.3">
      <c r="A324" s="43"/>
      <c r="B324" s="45" t="s">
        <v>465</v>
      </c>
      <c r="C324" s="48">
        <v>45876</v>
      </c>
      <c r="D324" s="49" t="s">
        <v>161</v>
      </c>
      <c r="E324" s="49" t="s">
        <v>68</v>
      </c>
      <c r="F324" s="49" t="s">
        <v>72</v>
      </c>
      <c r="G324" s="49" t="s">
        <v>153</v>
      </c>
      <c r="H324" s="49" t="s">
        <v>85</v>
      </c>
      <c r="I324" s="49" t="s">
        <v>83</v>
      </c>
      <c r="J324" s="49" t="s">
        <v>81</v>
      </c>
      <c r="K324" s="49">
        <v>5</v>
      </c>
      <c r="L324" s="49">
        <v>150</v>
      </c>
      <c r="M324" s="49">
        <v>0</v>
      </c>
      <c r="N324" s="49">
        <v>750</v>
      </c>
      <c r="O324" s="49">
        <v>750</v>
      </c>
      <c r="P324" s="49">
        <v>573.59</v>
      </c>
      <c r="Q324" s="49">
        <v>176.41</v>
      </c>
      <c r="R324" s="49">
        <v>0.23519999999999999</v>
      </c>
      <c r="S324" s="49">
        <v>0.76480000000000004</v>
      </c>
      <c r="T324" s="49">
        <v>1254</v>
      </c>
      <c r="U324" s="49">
        <v>1.1161000000000001</v>
      </c>
      <c r="V324" s="49">
        <v>0</v>
      </c>
      <c r="W324" s="50">
        <v>0</v>
      </c>
      <c r="X324" s="43"/>
      <c r="Y324" s="43"/>
      <c r="Z324" s="43"/>
      <c r="AA324" s="43"/>
      <c r="AB324" s="43"/>
      <c r="AC324" s="43"/>
    </row>
    <row r="325" spans="1:29" x14ac:dyDescent="0.3">
      <c r="A325" s="43"/>
      <c r="B325" s="45" t="s">
        <v>466</v>
      </c>
      <c r="C325" s="48">
        <v>45344</v>
      </c>
      <c r="D325" s="49" t="s">
        <v>140</v>
      </c>
      <c r="E325" s="49" t="s">
        <v>71</v>
      </c>
      <c r="F325" s="49" t="s">
        <v>76</v>
      </c>
      <c r="G325" s="49" t="s">
        <v>138</v>
      </c>
      <c r="H325" s="49" t="s">
        <v>84</v>
      </c>
      <c r="I325" s="49" t="s">
        <v>83</v>
      </c>
      <c r="J325" s="49" t="s">
        <v>81</v>
      </c>
      <c r="K325" s="49">
        <v>5</v>
      </c>
      <c r="L325" s="49">
        <v>300</v>
      </c>
      <c r="M325" s="49">
        <v>0</v>
      </c>
      <c r="N325" s="49">
        <v>1500</v>
      </c>
      <c r="O325" s="49">
        <v>1500</v>
      </c>
      <c r="P325" s="49">
        <v>881.79</v>
      </c>
      <c r="Q325" s="49">
        <v>618.21</v>
      </c>
      <c r="R325" s="49">
        <v>0.41210000000000002</v>
      </c>
      <c r="S325" s="49">
        <v>0.58789999999999998</v>
      </c>
      <c r="T325" s="49">
        <v>992</v>
      </c>
      <c r="U325" s="49">
        <v>1.6667000000000001</v>
      </c>
      <c r="V325" s="49">
        <v>0</v>
      </c>
      <c r="W325" s="50">
        <v>0</v>
      </c>
      <c r="X325" s="43"/>
      <c r="Y325" s="43"/>
      <c r="Z325" s="43"/>
      <c r="AA325" s="43"/>
      <c r="AB325" s="43"/>
      <c r="AC325" s="43"/>
    </row>
    <row r="326" spans="1:29" x14ac:dyDescent="0.3">
      <c r="A326" s="43"/>
      <c r="B326" s="45" t="s">
        <v>467</v>
      </c>
      <c r="C326" s="48">
        <v>45681</v>
      </c>
      <c r="D326" s="49" t="s">
        <v>161</v>
      </c>
      <c r="E326" s="49" t="s">
        <v>68</v>
      </c>
      <c r="F326" s="49" t="s">
        <v>76</v>
      </c>
      <c r="G326" s="49" t="s">
        <v>138</v>
      </c>
      <c r="H326" s="49" t="s">
        <v>84</v>
      </c>
      <c r="I326" s="49" t="s">
        <v>80</v>
      </c>
      <c r="J326" s="49" t="s">
        <v>81</v>
      </c>
      <c r="K326" s="49">
        <v>4</v>
      </c>
      <c r="L326" s="49">
        <v>100</v>
      </c>
      <c r="M326" s="49">
        <v>0</v>
      </c>
      <c r="N326" s="49">
        <v>400</v>
      </c>
      <c r="O326" s="49">
        <v>400</v>
      </c>
      <c r="P326" s="49">
        <v>225.8</v>
      </c>
      <c r="Q326" s="49">
        <v>174.2</v>
      </c>
      <c r="R326" s="49">
        <v>0.4355</v>
      </c>
      <c r="S326" s="49">
        <v>0.5645</v>
      </c>
      <c r="T326" s="49">
        <v>616</v>
      </c>
      <c r="U326" s="49">
        <v>0.44440000000000002</v>
      </c>
      <c r="V326" s="49">
        <v>1</v>
      </c>
      <c r="W326" s="50">
        <v>0.25</v>
      </c>
      <c r="X326" s="43"/>
      <c r="Y326" s="43"/>
      <c r="Z326" s="43"/>
      <c r="AA326" s="43"/>
      <c r="AB326" s="43"/>
      <c r="AC326" s="43"/>
    </row>
    <row r="327" spans="1:29" x14ac:dyDescent="0.3">
      <c r="A327" s="43"/>
      <c r="B327" s="45" t="s">
        <v>468</v>
      </c>
      <c r="C327" s="48">
        <v>45460</v>
      </c>
      <c r="D327" s="49" t="s">
        <v>143</v>
      </c>
      <c r="E327" s="49" t="s">
        <v>69</v>
      </c>
      <c r="F327" s="49" t="s">
        <v>72</v>
      </c>
      <c r="G327" s="49" t="s">
        <v>138</v>
      </c>
      <c r="H327" s="49" t="s">
        <v>79</v>
      </c>
      <c r="I327" s="49" t="s">
        <v>80</v>
      </c>
      <c r="J327" s="49" t="s">
        <v>81</v>
      </c>
      <c r="K327" s="49">
        <v>6</v>
      </c>
      <c r="L327" s="49">
        <v>80</v>
      </c>
      <c r="M327" s="49">
        <v>0.08</v>
      </c>
      <c r="N327" s="49">
        <v>480</v>
      </c>
      <c r="O327" s="49">
        <v>441.6</v>
      </c>
      <c r="P327" s="49">
        <v>189.89</v>
      </c>
      <c r="Q327" s="49">
        <v>251.71</v>
      </c>
      <c r="R327" s="49">
        <v>0.56999999999999995</v>
      </c>
      <c r="S327" s="49">
        <v>0.43</v>
      </c>
      <c r="T327" s="49">
        <v>464</v>
      </c>
      <c r="U327" s="49">
        <v>0.70099999999999996</v>
      </c>
      <c r="V327" s="49">
        <v>0</v>
      </c>
      <c r="W327" s="50">
        <v>0</v>
      </c>
      <c r="X327" s="43"/>
      <c r="Y327" s="43"/>
      <c r="Z327" s="43"/>
      <c r="AA327" s="43"/>
      <c r="AB327" s="43"/>
      <c r="AC327" s="43"/>
    </row>
    <row r="328" spans="1:29" x14ac:dyDescent="0.3">
      <c r="A328" s="43"/>
      <c r="B328" s="45" t="s">
        <v>469</v>
      </c>
      <c r="C328" s="48">
        <v>46002</v>
      </c>
      <c r="D328" s="49" t="s">
        <v>161</v>
      </c>
      <c r="E328" s="49" t="s">
        <v>68</v>
      </c>
      <c r="F328" s="49" t="s">
        <v>72</v>
      </c>
      <c r="G328" s="49" t="s">
        <v>153</v>
      </c>
      <c r="H328" s="49" t="s">
        <v>84</v>
      </c>
      <c r="I328" s="49" t="s">
        <v>83</v>
      </c>
      <c r="J328" s="49" t="s">
        <v>81</v>
      </c>
      <c r="K328" s="49">
        <v>6</v>
      </c>
      <c r="L328" s="49">
        <v>750</v>
      </c>
      <c r="M328" s="49">
        <v>0</v>
      </c>
      <c r="N328" s="49">
        <v>4500</v>
      </c>
      <c r="O328" s="49">
        <v>4500</v>
      </c>
      <c r="P328" s="49">
        <v>3500.81</v>
      </c>
      <c r="Q328" s="49">
        <v>999.19</v>
      </c>
      <c r="R328" s="49">
        <v>0.222</v>
      </c>
      <c r="S328" s="49">
        <v>0.77800000000000002</v>
      </c>
      <c r="T328" s="49">
        <v>2084</v>
      </c>
      <c r="U328" s="49">
        <v>6.25</v>
      </c>
      <c r="V328" s="49">
        <v>0</v>
      </c>
      <c r="W328" s="50">
        <v>0</v>
      </c>
      <c r="X328" s="43"/>
      <c r="Y328" s="43"/>
      <c r="Z328" s="43"/>
      <c r="AA328" s="43"/>
      <c r="AB328" s="43"/>
      <c r="AC328" s="43"/>
    </row>
    <row r="329" spans="1:29" x14ac:dyDescent="0.3">
      <c r="A329" s="43"/>
      <c r="B329" s="45" t="s">
        <v>470</v>
      </c>
      <c r="C329" s="48">
        <v>45346</v>
      </c>
      <c r="D329" s="49" t="s">
        <v>137</v>
      </c>
      <c r="E329" s="49" t="s">
        <v>71</v>
      </c>
      <c r="F329" s="49" t="s">
        <v>76</v>
      </c>
      <c r="G329" s="49" t="s">
        <v>138</v>
      </c>
      <c r="H329" s="49" t="s">
        <v>85</v>
      </c>
      <c r="I329" s="49" t="s">
        <v>83</v>
      </c>
      <c r="J329" s="49" t="s">
        <v>81</v>
      </c>
      <c r="K329" s="49">
        <v>3</v>
      </c>
      <c r="L329" s="49">
        <v>150</v>
      </c>
      <c r="M329" s="49">
        <v>0.05</v>
      </c>
      <c r="N329" s="49">
        <v>450</v>
      </c>
      <c r="O329" s="49">
        <v>427.5</v>
      </c>
      <c r="P329" s="49">
        <v>245.19</v>
      </c>
      <c r="Q329" s="49">
        <v>182.31</v>
      </c>
      <c r="R329" s="49">
        <v>0.42649999999999999</v>
      </c>
      <c r="S329" s="49">
        <v>0.57350000000000001</v>
      </c>
      <c r="T329" s="49">
        <v>496</v>
      </c>
      <c r="U329" s="49">
        <v>0.47499999999999998</v>
      </c>
      <c r="V329" s="49">
        <v>0</v>
      </c>
      <c r="W329" s="50">
        <v>0</v>
      </c>
      <c r="X329" s="43"/>
      <c r="Y329" s="43"/>
      <c r="Z329" s="43"/>
      <c r="AA329" s="43"/>
      <c r="AB329" s="43"/>
      <c r="AC329" s="43"/>
    </row>
    <row r="330" spans="1:29" x14ac:dyDescent="0.3">
      <c r="A330" s="43"/>
      <c r="B330" s="45" t="s">
        <v>471</v>
      </c>
      <c r="C330" s="48">
        <v>45334</v>
      </c>
      <c r="D330" s="49" t="s">
        <v>143</v>
      </c>
      <c r="E330" s="49" t="s">
        <v>69</v>
      </c>
      <c r="F330" s="49" t="s">
        <v>72</v>
      </c>
      <c r="G330" s="49" t="s">
        <v>141</v>
      </c>
      <c r="H330" s="49" t="s">
        <v>85</v>
      </c>
      <c r="I330" s="49" t="s">
        <v>83</v>
      </c>
      <c r="J330" s="49" t="s">
        <v>86</v>
      </c>
      <c r="K330" s="49">
        <v>6</v>
      </c>
      <c r="L330" s="49">
        <v>80</v>
      </c>
      <c r="M330" s="49">
        <v>0.03</v>
      </c>
      <c r="N330" s="49">
        <v>480</v>
      </c>
      <c r="O330" s="49">
        <v>465.6</v>
      </c>
      <c r="P330" s="49">
        <v>280.70999999999998</v>
      </c>
      <c r="Q330" s="49">
        <v>184.89</v>
      </c>
      <c r="R330" s="49">
        <v>0.39710000000000001</v>
      </c>
      <c r="S330" s="49">
        <v>0.60289999999999999</v>
      </c>
      <c r="T330" s="49">
        <v>366</v>
      </c>
      <c r="U330" s="49">
        <v>0.77600000000000002</v>
      </c>
      <c r="V330" s="49">
        <v>0</v>
      </c>
      <c r="W330" s="50">
        <v>0</v>
      </c>
      <c r="X330" s="43"/>
      <c r="Y330" s="43"/>
      <c r="Z330" s="43"/>
      <c r="AA330" s="43"/>
      <c r="AB330" s="43"/>
      <c r="AC330" s="43"/>
    </row>
    <row r="331" spans="1:29" x14ac:dyDescent="0.3">
      <c r="A331" s="43"/>
      <c r="B331" s="45" t="s">
        <v>472</v>
      </c>
      <c r="C331" s="48">
        <v>45863</v>
      </c>
      <c r="D331" s="49" t="s">
        <v>143</v>
      </c>
      <c r="E331" s="49" t="s">
        <v>69</v>
      </c>
      <c r="F331" s="49" t="s">
        <v>73</v>
      </c>
      <c r="G331" s="49" t="s">
        <v>153</v>
      </c>
      <c r="H331" s="49" t="s">
        <v>84</v>
      </c>
      <c r="I331" s="49" t="s">
        <v>83</v>
      </c>
      <c r="J331" s="49" t="s">
        <v>81</v>
      </c>
      <c r="K331" s="49">
        <v>4</v>
      </c>
      <c r="L331" s="49">
        <v>300</v>
      </c>
      <c r="M331" s="49">
        <v>0.05</v>
      </c>
      <c r="N331" s="49">
        <v>1200</v>
      </c>
      <c r="O331" s="49">
        <v>1140</v>
      </c>
      <c r="P331" s="49">
        <v>616.07000000000005</v>
      </c>
      <c r="Q331" s="49">
        <v>523.92999999999995</v>
      </c>
      <c r="R331" s="49">
        <v>0.45960000000000001</v>
      </c>
      <c r="S331" s="49">
        <v>0.54039999999999999</v>
      </c>
      <c r="T331" s="49">
        <v>860</v>
      </c>
      <c r="U331" s="49">
        <v>1.2723</v>
      </c>
      <c r="V331" s="49">
        <v>0</v>
      </c>
      <c r="W331" s="50">
        <v>0</v>
      </c>
      <c r="X331" s="43"/>
      <c r="Y331" s="43"/>
      <c r="Z331" s="43"/>
      <c r="AA331" s="43"/>
      <c r="AB331" s="43"/>
      <c r="AC331" s="43"/>
    </row>
    <row r="332" spans="1:29" x14ac:dyDescent="0.3">
      <c r="A332" s="43"/>
      <c r="B332" s="45" t="s">
        <v>473</v>
      </c>
      <c r="C332" s="48">
        <v>45567</v>
      </c>
      <c r="D332" s="49" t="s">
        <v>149</v>
      </c>
      <c r="E332" s="49" t="s">
        <v>70</v>
      </c>
      <c r="F332" s="49" t="s">
        <v>75</v>
      </c>
      <c r="G332" s="49" t="s">
        <v>141</v>
      </c>
      <c r="H332" s="49" t="s">
        <v>85</v>
      </c>
      <c r="I332" s="49" t="s">
        <v>80</v>
      </c>
      <c r="J332" s="49" t="s">
        <v>81</v>
      </c>
      <c r="K332" s="49">
        <v>2</v>
      </c>
      <c r="L332" s="49">
        <v>200</v>
      </c>
      <c r="M332" s="49">
        <v>0</v>
      </c>
      <c r="N332" s="49">
        <v>400</v>
      </c>
      <c r="O332" s="49">
        <v>400</v>
      </c>
      <c r="P332" s="49">
        <v>284.48</v>
      </c>
      <c r="Q332" s="49">
        <v>115.52</v>
      </c>
      <c r="R332" s="49">
        <v>0.2888</v>
      </c>
      <c r="S332" s="49">
        <v>0.71120000000000005</v>
      </c>
      <c r="T332" s="49">
        <v>317</v>
      </c>
      <c r="U332" s="49">
        <v>0.51280000000000003</v>
      </c>
      <c r="V332" s="49">
        <v>0</v>
      </c>
      <c r="W332" s="50">
        <v>0</v>
      </c>
      <c r="X332" s="43"/>
      <c r="Y332" s="43"/>
      <c r="Z332" s="43"/>
      <c r="AA332" s="43"/>
      <c r="AB332" s="43"/>
      <c r="AC332" s="43"/>
    </row>
    <row r="333" spans="1:29" x14ac:dyDescent="0.3">
      <c r="A333" s="43"/>
      <c r="B333" s="45" t="s">
        <v>474</v>
      </c>
      <c r="C333" s="48">
        <v>45930</v>
      </c>
      <c r="D333" s="49" t="s">
        <v>140</v>
      </c>
      <c r="E333" s="49" t="s">
        <v>71</v>
      </c>
      <c r="F333" s="49" t="s">
        <v>73</v>
      </c>
      <c r="G333" s="49" t="s">
        <v>183</v>
      </c>
      <c r="H333" s="49" t="s">
        <v>84</v>
      </c>
      <c r="I333" s="49" t="s">
        <v>83</v>
      </c>
      <c r="J333" s="49" t="s">
        <v>81</v>
      </c>
      <c r="K333" s="49">
        <v>5</v>
      </c>
      <c r="L333" s="49">
        <v>300</v>
      </c>
      <c r="M333" s="49">
        <v>0</v>
      </c>
      <c r="N333" s="49">
        <v>1500</v>
      </c>
      <c r="O333" s="49">
        <v>1500</v>
      </c>
      <c r="P333" s="49">
        <v>768.61</v>
      </c>
      <c r="Q333" s="49">
        <v>731.39</v>
      </c>
      <c r="R333" s="49">
        <v>0.48759999999999998</v>
      </c>
      <c r="S333" s="49">
        <v>0.51239999999999997</v>
      </c>
      <c r="T333" s="49">
        <v>2033</v>
      </c>
      <c r="U333" s="49">
        <v>1.6740999999999999</v>
      </c>
      <c r="V333" s="49">
        <v>0</v>
      </c>
      <c r="W333" s="50">
        <v>0</v>
      </c>
      <c r="X333" s="43"/>
      <c r="Y333" s="43"/>
      <c r="Z333" s="43"/>
      <c r="AA333" s="43"/>
      <c r="AB333" s="43"/>
      <c r="AC333" s="43"/>
    </row>
    <row r="334" spans="1:29" x14ac:dyDescent="0.3">
      <c r="A334" s="43"/>
      <c r="B334" s="45" t="s">
        <v>475</v>
      </c>
      <c r="C334" s="48">
        <v>45659</v>
      </c>
      <c r="D334" s="49" t="s">
        <v>143</v>
      </c>
      <c r="E334" s="49" t="s">
        <v>69</v>
      </c>
      <c r="F334" s="49" t="s">
        <v>76</v>
      </c>
      <c r="G334" s="49" t="s">
        <v>147</v>
      </c>
      <c r="H334" s="49" t="s">
        <v>84</v>
      </c>
      <c r="I334" s="49" t="s">
        <v>83</v>
      </c>
      <c r="J334" s="49" t="s">
        <v>81</v>
      </c>
      <c r="K334" s="49">
        <v>1</v>
      </c>
      <c r="L334" s="49">
        <v>40</v>
      </c>
      <c r="M334" s="49">
        <v>0.05</v>
      </c>
      <c r="N334" s="49">
        <v>40</v>
      </c>
      <c r="O334" s="49">
        <v>38</v>
      </c>
      <c r="P334" s="49">
        <v>22.99</v>
      </c>
      <c r="Q334" s="49">
        <v>15.01</v>
      </c>
      <c r="R334" s="49">
        <v>0.39500000000000002</v>
      </c>
      <c r="S334" s="49">
        <v>0.60499999999999998</v>
      </c>
      <c r="T334" s="49">
        <v>88</v>
      </c>
      <c r="U334" s="49">
        <v>4.2200000000000001E-2</v>
      </c>
      <c r="V334" s="49">
        <v>1</v>
      </c>
      <c r="W334" s="50">
        <v>1</v>
      </c>
      <c r="X334" s="43"/>
      <c r="Y334" s="43"/>
      <c r="Z334" s="43"/>
      <c r="AA334" s="43"/>
      <c r="AB334" s="43"/>
      <c r="AC334" s="43"/>
    </row>
    <row r="335" spans="1:29" x14ac:dyDescent="0.3">
      <c r="A335" s="43"/>
      <c r="B335" s="45" t="s">
        <v>476</v>
      </c>
      <c r="C335" s="48">
        <v>45400</v>
      </c>
      <c r="D335" s="49" t="s">
        <v>161</v>
      </c>
      <c r="E335" s="49" t="s">
        <v>68</v>
      </c>
      <c r="F335" s="49" t="s">
        <v>76</v>
      </c>
      <c r="G335" s="49" t="s">
        <v>147</v>
      </c>
      <c r="H335" s="49" t="s">
        <v>82</v>
      </c>
      <c r="I335" s="49" t="s">
        <v>83</v>
      </c>
      <c r="J335" s="49" t="s">
        <v>81</v>
      </c>
      <c r="K335" s="49">
        <v>7</v>
      </c>
      <c r="L335" s="49">
        <v>150</v>
      </c>
      <c r="M335" s="49">
        <v>0</v>
      </c>
      <c r="N335" s="49">
        <v>1050</v>
      </c>
      <c r="O335" s="49">
        <v>1050</v>
      </c>
      <c r="P335" s="49">
        <v>618.29999999999995</v>
      </c>
      <c r="Q335" s="49">
        <v>431.7</v>
      </c>
      <c r="R335" s="49">
        <v>0.41110000000000002</v>
      </c>
      <c r="S335" s="49">
        <v>0.58889999999999998</v>
      </c>
      <c r="T335" s="49">
        <v>1292</v>
      </c>
      <c r="U335" s="49">
        <v>1.1111</v>
      </c>
      <c r="V335" s="49">
        <v>0</v>
      </c>
      <c r="W335" s="50">
        <v>0</v>
      </c>
      <c r="X335" s="43"/>
      <c r="Y335" s="43"/>
      <c r="Z335" s="43"/>
      <c r="AA335" s="43"/>
      <c r="AB335" s="43"/>
      <c r="AC335" s="43"/>
    </row>
    <row r="336" spans="1:29" x14ac:dyDescent="0.3">
      <c r="A336" s="43"/>
      <c r="B336" s="45" t="s">
        <v>477</v>
      </c>
      <c r="C336" s="48">
        <v>45471</v>
      </c>
      <c r="D336" s="49" t="s">
        <v>143</v>
      </c>
      <c r="E336" s="49" t="s">
        <v>69</v>
      </c>
      <c r="F336" s="49" t="s">
        <v>72</v>
      </c>
      <c r="G336" s="49" t="s">
        <v>144</v>
      </c>
      <c r="H336" s="49" t="s">
        <v>79</v>
      </c>
      <c r="I336" s="49" t="s">
        <v>80</v>
      </c>
      <c r="J336" s="49" t="s">
        <v>86</v>
      </c>
      <c r="K336" s="49">
        <v>6</v>
      </c>
      <c r="L336" s="49">
        <v>300</v>
      </c>
      <c r="M336" s="49">
        <v>0.05</v>
      </c>
      <c r="N336" s="49">
        <v>1800</v>
      </c>
      <c r="O336" s="49">
        <v>1710</v>
      </c>
      <c r="P336" s="49">
        <v>939.25</v>
      </c>
      <c r="Q336" s="49">
        <v>770.75</v>
      </c>
      <c r="R336" s="49">
        <v>0.45069999999999999</v>
      </c>
      <c r="S336" s="49">
        <v>0.54930000000000001</v>
      </c>
      <c r="T336" s="49">
        <v>2824</v>
      </c>
      <c r="U336" s="49">
        <v>2.7143000000000002</v>
      </c>
      <c r="V336" s="49">
        <v>0</v>
      </c>
      <c r="W336" s="50">
        <v>0</v>
      </c>
      <c r="X336" s="43"/>
      <c r="Y336" s="43"/>
      <c r="Z336" s="43"/>
      <c r="AA336" s="43"/>
      <c r="AB336" s="43"/>
      <c r="AC336" s="43"/>
    </row>
    <row r="337" spans="1:29" x14ac:dyDescent="0.3">
      <c r="A337" s="43"/>
      <c r="B337" s="45" t="s">
        <v>478</v>
      </c>
      <c r="C337" s="48">
        <v>45709</v>
      </c>
      <c r="D337" s="49" t="s">
        <v>143</v>
      </c>
      <c r="E337" s="49" t="s">
        <v>69</v>
      </c>
      <c r="F337" s="49" t="s">
        <v>75</v>
      </c>
      <c r="G337" s="49" t="s">
        <v>153</v>
      </c>
      <c r="H337" s="49" t="s">
        <v>82</v>
      </c>
      <c r="I337" s="49" t="s">
        <v>83</v>
      </c>
      <c r="J337" s="49" t="s">
        <v>86</v>
      </c>
      <c r="K337" s="49">
        <v>2</v>
      </c>
      <c r="L337" s="49">
        <v>500</v>
      </c>
      <c r="M337" s="49">
        <v>0.08</v>
      </c>
      <c r="N337" s="49">
        <v>1000</v>
      </c>
      <c r="O337" s="49">
        <v>920</v>
      </c>
      <c r="P337" s="49">
        <v>557.07000000000005</v>
      </c>
      <c r="Q337" s="49">
        <v>362.93</v>
      </c>
      <c r="R337" s="49">
        <v>0.39450000000000002</v>
      </c>
      <c r="S337" s="49">
        <v>0.60550000000000004</v>
      </c>
      <c r="T337" s="49">
        <v>731</v>
      </c>
      <c r="U337" s="49">
        <v>1.4154</v>
      </c>
      <c r="V337" s="49">
        <v>0</v>
      </c>
      <c r="W337" s="50">
        <v>0</v>
      </c>
      <c r="X337" s="43"/>
      <c r="Y337" s="43"/>
      <c r="Z337" s="43"/>
      <c r="AA337" s="43"/>
      <c r="AB337" s="43"/>
      <c r="AC337" s="43"/>
    </row>
    <row r="338" spans="1:29" x14ac:dyDescent="0.3">
      <c r="A338" s="43"/>
      <c r="B338" s="45" t="s">
        <v>479</v>
      </c>
      <c r="C338" s="48">
        <v>45433</v>
      </c>
      <c r="D338" s="49" t="s">
        <v>151</v>
      </c>
      <c r="E338" s="49" t="s">
        <v>70</v>
      </c>
      <c r="F338" s="49" t="s">
        <v>76</v>
      </c>
      <c r="G338" s="49" t="s">
        <v>138</v>
      </c>
      <c r="H338" s="49" t="s">
        <v>82</v>
      </c>
      <c r="I338" s="49" t="s">
        <v>83</v>
      </c>
      <c r="J338" s="49" t="s">
        <v>81</v>
      </c>
      <c r="K338" s="49">
        <v>3</v>
      </c>
      <c r="L338" s="49">
        <v>40</v>
      </c>
      <c r="M338" s="49">
        <v>0.03</v>
      </c>
      <c r="N338" s="49">
        <v>120</v>
      </c>
      <c r="O338" s="49">
        <v>116.4</v>
      </c>
      <c r="P338" s="49">
        <v>82.24</v>
      </c>
      <c r="Q338" s="49">
        <v>34.159999999999997</v>
      </c>
      <c r="R338" s="49">
        <v>0.29349999999999998</v>
      </c>
      <c r="S338" s="49">
        <v>0.70650000000000002</v>
      </c>
      <c r="T338" s="49">
        <v>141</v>
      </c>
      <c r="U338" s="49">
        <v>0.1232</v>
      </c>
      <c r="V338" s="49">
        <v>1</v>
      </c>
      <c r="W338" s="50">
        <v>0.33329999999999999</v>
      </c>
      <c r="X338" s="43"/>
      <c r="Y338" s="43"/>
      <c r="Z338" s="43"/>
      <c r="AA338" s="43"/>
      <c r="AB338" s="43"/>
      <c r="AC338" s="43"/>
    </row>
    <row r="339" spans="1:29" x14ac:dyDescent="0.3">
      <c r="A339" s="43"/>
      <c r="B339" s="45" t="s">
        <v>480</v>
      </c>
      <c r="C339" s="48">
        <v>45615</v>
      </c>
      <c r="D339" s="49" t="s">
        <v>140</v>
      </c>
      <c r="E339" s="49" t="s">
        <v>71</v>
      </c>
      <c r="F339" s="49" t="s">
        <v>74</v>
      </c>
      <c r="G339" s="49" t="s">
        <v>147</v>
      </c>
      <c r="H339" s="49" t="s">
        <v>79</v>
      </c>
      <c r="I339" s="49" t="s">
        <v>80</v>
      </c>
      <c r="J339" s="49" t="s">
        <v>81</v>
      </c>
      <c r="K339" s="49">
        <v>6</v>
      </c>
      <c r="L339" s="49">
        <v>80</v>
      </c>
      <c r="M339" s="49">
        <v>0.08</v>
      </c>
      <c r="N339" s="49">
        <v>480</v>
      </c>
      <c r="O339" s="49">
        <v>441.6</v>
      </c>
      <c r="P339" s="49">
        <v>303.97000000000003</v>
      </c>
      <c r="Q339" s="49">
        <v>137.63</v>
      </c>
      <c r="R339" s="49">
        <v>0.31169999999999998</v>
      </c>
      <c r="S339" s="49">
        <v>0.68830000000000002</v>
      </c>
      <c r="T339" s="49">
        <v>331</v>
      </c>
      <c r="U339" s="49">
        <v>0.49070000000000003</v>
      </c>
      <c r="V339" s="49">
        <v>0</v>
      </c>
      <c r="W339" s="50">
        <v>0</v>
      </c>
      <c r="X339" s="43"/>
      <c r="Y339" s="43"/>
      <c r="Z339" s="43"/>
      <c r="AA339" s="43"/>
      <c r="AB339" s="43"/>
      <c r="AC339" s="43"/>
    </row>
    <row r="340" spans="1:29" x14ac:dyDescent="0.3">
      <c r="A340" s="43"/>
      <c r="B340" s="45" t="s">
        <v>481</v>
      </c>
      <c r="C340" s="48">
        <v>45780</v>
      </c>
      <c r="D340" s="49" t="s">
        <v>149</v>
      </c>
      <c r="E340" s="49" t="s">
        <v>70</v>
      </c>
      <c r="F340" s="49" t="s">
        <v>72</v>
      </c>
      <c r="G340" s="49" t="s">
        <v>141</v>
      </c>
      <c r="H340" s="49" t="s">
        <v>84</v>
      </c>
      <c r="I340" s="49" t="s">
        <v>83</v>
      </c>
      <c r="J340" s="49" t="s">
        <v>81</v>
      </c>
      <c r="K340" s="49">
        <v>4</v>
      </c>
      <c r="L340" s="49">
        <v>200</v>
      </c>
      <c r="M340" s="49">
        <v>0.08</v>
      </c>
      <c r="N340" s="49">
        <v>800</v>
      </c>
      <c r="O340" s="49">
        <v>736</v>
      </c>
      <c r="P340" s="49">
        <v>526.14</v>
      </c>
      <c r="Q340" s="49">
        <v>209.86</v>
      </c>
      <c r="R340" s="49">
        <v>0.28510000000000002</v>
      </c>
      <c r="S340" s="49">
        <v>0.71489999999999998</v>
      </c>
      <c r="T340" s="49">
        <v>585</v>
      </c>
      <c r="U340" s="49">
        <v>1.1682999999999999</v>
      </c>
      <c r="V340" s="49">
        <v>0</v>
      </c>
      <c r="W340" s="50">
        <v>0</v>
      </c>
      <c r="X340" s="43"/>
      <c r="Y340" s="43"/>
      <c r="Z340" s="43"/>
      <c r="AA340" s="43"/>
      <c r="AB340" s="43"/>
      <c r="AC340" s="43"/>
    </row>
    <row r="341" spans="1:29" x14ac:dyDescent="0.3">
      <c r="A341" s="43"/>
      <c r="B341" s="45" t="s">
        <v>482</v>
      </c>
      <c r="C341" s="48">
        <v>45510</v>
      </c>
      <c r="D341" s="49" t="s">
        <v>151</v>
      </c>
      <c r="E341" s="49" t="s">
        <v>70</v>
      </c>
      <c r="F341" s="49" t="s">
        <v>75</v>
      </c>
      <c r="G341" s="49" t="s">
        <v>147</v>
      </c>
      <c r="H341" s="49" t="s">
        <v>84</v>
      </c>
      <c r="I341" s="49" t="s">
        <v>80</v>
      </c>
      <c r="J341" s="49" t="s">
        <v>86</v>
      </c>
      <c r="K341" s="49">
        <v>2</v>
      </c>
      <c r="L341" s="49">
        <v>80</v>
      </c>
      <c r="M341" s="49">
        <v>0.15</v>
      </c>
      <c r="N341" s="49">
        <v>160</v>
      </c>
      <c r="O341" s="49">
        <v>136</v>
      </c>
      <c r="P341" s="49">
        <v>77.47</v>
      </c>
      <c r="Q341" s="49">
        <v>58.53</v>
      </c>
      <c r="R341" s="49">
        <v>0.4304</v>
      </c>
      <c r="S341" s="49">
        <v>0.5696</v>
      </c>
      <c r="T341" s="49">
        <v>106</v>
      </c>
      <c r="U341" s="49">
        <v>0.18679999999999999</v>
      </c>
      <c r="V341" s="49">
        <v>0</v>
      </c>
      <c r="W341" s="50">
        <v>0</v>
      </c>
      <c r="X341" s="43"/>
      <c r="Y341" s="43"/>
      <c r="Z341" s="43"/>
      <c r="AA341" s="43"/>
      <c r="AB341" s="43"/>
      <c r="AC341" s="43"/>
    </row>
    <row r="342" spans="1:29" x14ac:dyDescent="0.3">
      <c r="A342" s="43"/>
      <c r="B342" s="45" t="s">
        <v>483</v>
      </c>
      <c r="C342" s="48">
        <v>45696</v>
      </c>
      <c r="D342" s="49" t="s">
        <v>161</v>
      </c>
      <c r="E342" s="49" t="s">
        <v>68</v>
      </c>
      <c r="F342" s="49" t="s">
        <v>76</v>
      </c>
      <c r="G342" s="49" t="s">
        <v>147</v>
      </c>
      <c r="H342" s="49" t="s">
        <v>79</v>
      </c>
      <c r="I342" s="49" t="s">
        <v>80</v>
      </c>
      <c r="J342" s="49" t="s">
        <v>81</v>
      </c>
      <c r="K342" s="49">
        <v>3</v>
      </c>
      <c r="L342" s="49">
        <v>200</v>
      </c>
      <c r="M342" s="49">
        <v>0.03</v>
      </c>
      <c r="N342" s="49">
        <v>600</v>
      </c>
      <c r="O342" s="49">
        <v>582</v>
      </c>
      <c r="P342" s="49">
        <v>326.76</v>
      </c>
      <c r="Q342" s="49">
        <v>255.24</v>
      </c>
      <c r="R342" s="49">
        <v>0.43859999999999999</v>
      </c>
      <c r="S342" s="49">
        <v>0.56140000000000001</v>
      </c>
      <c r="T342" s="49">
        <v>607</v>
      </c>
      <c r="U342" s="49">
        <v>0.64670000000000005</v>
      </c>
      <c r="V342" s="49">
        <v>0</v>
      </c>
      <c r="W342" s="50">
        <v>0</v>
      </c>
      <c r="X342" s="43"/>
      <c r="Y342" s="43"/>
      <c r="Z342" s="43"/>
      <c r="AA342" s="43"/>
      <c r="AB342" s="43"/>
      <c r="AC342" s="43"/>
    </row>
    <row r="343" spans="1:29" x14ac:dyDescent="0.3">
      <c r="A343" s="43"/>
      <c r="B343" s="45" t="s">
        <v>484</v>
      </c>
      <c r="C343" s="48">
        <v>45432</v>
      </c>
      <c r="D343" s="49" t="s">
        <v>151</v>
      </c>
      <c r="E343" s="49" t="s">
        <v>70</v>
      </c>
      <c r="F343" s="49" t="s">
        <v>75</v>
      </c>
      <c r="G343" s="49" t="s">
        <v>183</v>
      </c>
      <c r="H343" s="49" t="s">
        <v>82</v>
      </c>
      <c r="I343" s="49" t="s">
        <v>80</v>
      </c>
      <c r="J343" s="49" t="s">
        <v>81</v>
      </c>
      <c r="K343" s="49">
        <v>2</v>
      </c>
      <c r="L343" s="49">
        <v>60</v>
      </c>
      <c r="M343" s="49">
        <v>0.05</v>
      </c>
      <c r="N343" s="49">
        <v>120</v>
      </c>
      <c r="O343" s="49">
        <v>114</v>
      </c>
      <c r="P343" s="49">
        <v>82.09</v>
      </c>
      <c r="Q343" s="49">
        <v>31.91</v>
      </c>
      <c r="R343" s="49">
        <v>0.27989999999999998</v>
      </c>
      <c r="S343" s="49">
        <v>0.72009999999999996</v>
      </c>
      <c r="T343" s="49">
        <v>119</v>
      </c>
      <c r="U343" s="49">
        <v>0.16719999999999999</v>
      </c>
      <c r="V343" s="49">
        <v>0</v>
      </c>
      <c r="W343" s="50">
        <v>0</v>
      </c>
      <c r="X343" s="43"/>
      <c r="Y343" s="43"/>
      <c r="Z343" s="43"/>
      <c r="AA343" s="43"/>
      <c r="AB343" s="43"/>
      <c r="AC343" s="43"/>
    </row>
    <row r="344" spans="1:29" x14ac:dyDescent="0.3">
      <c r="A344" s="43"/>
      <c r="B344" s="45" t="s">
        <v>485</v>
      </c>
      <c r="C344" s="48">
        <v>45718</v>
      </c>
      <c r="D344" s="49" t="s">
        <v>143</v>
      </c>
      <c r="E344" s="49" t="s">
        <v>69</v>
      </c>
      <c r="F344" s="49" t="s">
        <v>72</v>
      </c>
      <c r="G344" s="49" t="s">
        <v>147</v>
      </c>
      <c r="H344" s="49" t="s">
        <v>84</v>
      </c>
      <c r="I344" s="49" t="s">
        <v>83</v>
      </c>
      <c r="J344" s="49" t="s">
        <v>81</v>
      </c>
      <c r="K344" s="49">
        <v>2</v>
      </c>
      <c r="L344" s="49">
        <v>40</v>
      </c>
      <c r="M344" s="49">
        <v>0.1</v>
      </c>
      <c r="N344" s="49">
        <v>80</v>
      </c>
      <c r="O344" s="49">
        <v>72</v>
      </c>
      <c r="P344" s="49">
        <v>37.869999999999997</v>
      </c>
      <c r="Q344" s="49">
        <v>34.130000000000003</v>
      </c>
      <c r="R344" s="49">
        <v>0.47399999999999998</v>
      </c>
      <c r="S344" s="49">
        <v>0.52600000000000002</v>
      </c>
      <c r="T344" s="49">
        <v>87</v>
      </c>
      <c r="U344" s="49">
        <v>0.12</v>
      </c>
      <c r="V344" s="49">
        <v>0</v>
      </c>
      <c r="W344" s="50">
        <v>0</v>
      </c>
      <c r="X344" s="43"/>
      <c r="Y344" s="43"/>
      <c r="Z344" s="43"/>
      <c r="AA344" s="43"/>
      <c r="AB344" s="43"/>
      <c r="AC344" s="43"/>
    </row>
    <row r="345" spans="1:29" x14ac:dyDescent="0.3">
      <c r="A345" s="43"/>
      <c r="B345" s="45" t="s">
        <v>486</v>
      </c>
      <c r="C345" s="48">
        <v>45997</v>
      </c>
      <c r="D345" s="49" t="s">
        <v>140</v>
      </c>
      <c r="E345" s="49" t="s">
        <v>71</v>
      </c>
      <c r="F345" s="49" t="s">
        <v>76</v>
      </c>
      <c r="G345" s="49" t="s">
        <v>153</v>
      </c>
      <c r="H345" s="49" t="s">
        <v>85</v>
      </c>
      <c r="I345" s="49" t="s">
        <v>83</v>
      </c>
      <c r="J345" s="49" t="s">
        <v>86</v>
      </c>
      <c r="K345" s="49">
        <v>6</v>
      </c>
      <c r="L345" s="49">
        <v>300</v>
      </c>
      <c r="M345" s="49">
        <v>0.15</v>
      </c>
      <c r="N345" s="49">
        <v>1800</v>
      </c>
      <c r="O345" s="49">
        <v>1530</v>
      </c>
      <c r="P345" s="49">
        <v>1112.3900000000001</v>
      </c>
      <c r="Q345" s="49">
        <v>417.61</v>
      </c>
      <c r="R345" s="49">
        <v>0.27289999999999998</v>
      </c>
      <c r="S345" s="49">
        <v>0.72709999999999997</v>
      </c>
      <c r="T345" s="49">
        <v>1849</v>
      </c>
      <c r="U345" s="49">
        <v>1.4167000000000001</v>
      </c>
      <c r="V345" s="49">
        <v>0</v>
      </c>
      <c r="W345" s="50">
        <v>0</v>
      </c>
      <c r="X345" s="43"/>
      <c r="Y345" s="43"/>
      <c r="Z345" s="43"/>
      <c r="AA345" s="43"/>
      <c r="AB345" s="43"/>
      <c r="AC345" s="43"/>
    </row>
    <row r="346" spans="1:29" x14ac:dyDescent="0.3">
      <c r="A346" s="43"/>
      <c r="B346" s="45" t="s">
        <v>487</v>
      </c>
      <c r="C346" s="48">
        <v>45931</v>
      </c>
      <c r="D346" s="49" t="s">
        <v>151</v>
      </c>
      <c r="E346" s="49" t="s">
        <v>70</v>
      </c>
      <c r="F346" s="49" t="s">
        <v>75</v>
      </c>
      <c r="G346" s="49" t="s">
        <v>144</v>
      </c>
      <c r="H346" s="49" t="s">
        <v>84</v>
      </c>
      <c r="I346" s="49" t="s">
        <v>83</v>
      </c>
      <c r="J346" s="49" t="s">
        <v>81</v>
      </c>
      <c r="K346" s="49">
        <v>8</v>
      </c>
      <c r="L346" s="49">
        <v>40</v>
      </c>
      <c r="M346" s="49">
        <v>0.03</v>
      </c>
      <c r="N346" s="49">
        <v>320</v>
      </c>
      <c r="O346" s="49">
        <v>310.39999999999998</v>
      </c>
      <c r="P346" s="49">
        <v>202.49</v>
      </c>
      <c r="Q346" s="49">
        <v>107.91</v>
      </c>
      <c r="R346" s="49">
        <v>0.34760000000000002</v>
      </c>
      <c r="S346" s="49">
        <v>0.65239999999999998</v>
      </c>
      <c r="T346" s="49">
        <v>327</v>
      </c>
      <c r="U346" s="49">
        <v>0.39789999999999998</v>
      </c>
      <c r="V346" s="49">
        <v>0</v>
      </c>
      <c r="W346" s="50">
        <v>0</v>
      </c>
      <c r="X346" s="43"/>
      <c r="Y346" s="43"/>
      <c r="Z346" s="43"/>
      <c r="AA346" s="43"/>
      <c r="AB346" s="43"/>
      <c r="AC346" s="43"/>
    </row>
    <row r="347" spans="1:29" x14ac:dyDescent="0.3">
      <c r="A347" s="43"/>
      <c r="B347" s="45" t="s">
        <v>488</v>
      </c>
      <c r="C347" s="48">
        <v>45341</v>
      </c>
      <c r="D347" s="49" t="s">
        <v>149</v>
      </c>
      <c r="E347" s="49" t="s">
        <v>70</v>
      </c>
      <c r="F347" s="49" t="s">
        <v>72</v>
      </c>
      <c r="G347" s="49" t="s">
        <v>144</v>
      </c>
      <c r="H347" s="49" t="s">
        <v>79</v>
      </c>
      <c r="I347" s="49" t="s">
        <v>80</v>
      </c>
      <c r="J347" s="49" t="s">
        <v>81</v>
      </c>
      <c r="K347" s="49">
        <v>6</v>
      </c>
      <c r="L347" s="49">
        <v>750</v>
      </c>
      <c r="M347" s="49">
        <v>0</v>
      </c>
      <c r="N347" s="49">
        <v>4500</v>
      </c>
      <c r="O347" s="49">
        <v>4500</v>
      </c>
      <c r="P347" s="49">
        <v>2231.87</v>
      </c>
      <c r="Q347" s="49">
        <v>2268.13</v>
      </c>
      <c r="R347" s="49">
        <v>0.504</v>
      </c>
      <c r="S347" s="49">
        <v>0.496</v>
      </c>
      <c r="T347" s="49">
        <v>2063</v>
      </c>
      <c r="U347" s="49">
        <v>7.5</v>
      </c>
      <c r="V347" s="49">
        <v>0</v>
      </c>
      <c r="W347" s="50">
        <v>0</v>
      </c>
      <c r="X347" s="43"/>
      <c r="Y347" s="43"/>
      <c r="Z347" s="43"/>
      <c r="AA347" s="43"/>
      <c r="AB347" s="43"/>
      <c r="AC347" s="43"/>
    </row>
    <row r="348" spans="1:29" x14ac:dyDescent="0.3">
      <c r="A348" s="43"/>
      <c r="B348" s="45" t="s">
        <v>489</v>
      </c>
      <c r="C348" s="48">
        <v>45519</v>
      </c>
      <c r="D348" s="49" t="s">
        <v>143</v>
      </c>
      <c r="E348" s="49" t="s">
        <v>69</v>
      </c>
      <c r="F348" s="49" t="s">
        <v>72</v>
      </c>
      <c r="G348" s="49" t="s">
        <v>138</v>
      </c>
      <c r="H348" s="49" t="s">
        <v>82</v>
      </c>
      <c r="I348" s="49" t="s">
        <v>80</v>
      </c>
      <c r="J348" s="49" t="s">
        <v>86</v>
      </c>
      <c r="K348" s="49">
        <v>6</v>
      </c>
      <c r="L348" s="49">
        <v>100</v>
      </c>
      <c r="M348" s="49">
        <v>0.1</v>
      </c>
      <c r="N348" s="49">
        <v>600</v>
      </c>
      <c r="O348" s="49">
        <v>540</v>
      </c>
      <c r="P348" s="49">
        <v>331.43</v>
      </c>
      <c r="Q348" s="49">
        <v>208.57</v>
      </c>
      <c r="R348" s="49">
        <v>0.38619999999999999</v>
      </c>
      <c r="S348" s="49">
        <v>0.61380000000000001</v>
      </c>
      <c r="T348" s="49">
        <v>670</v>
      </c>
      <c r="U348" s="49">
        <v>0.80359999999999998</v>
      </c>
      <c r="V348" s="49">
        <v>1</v>
      </c>
      <c r="W348" s="50">
        <v>0.16669999999999999</v>
      </c>
      <c r="X348" s="43"/>
      <c r="Y348" s="43"/>
      <c r="Z348" s="43"/>
      <c r="AA348" s="43"/>
      <c r="AB348" s="43"/>
      <c r="AC348" s="43"/>
    </row>
    <row r="349" spans="1:29" x14ac:dyDescent="0.3">
      <c r="A349" s="43"/>
      <c r="B349" s="45" t="s">
        <v>490</v>
      </c>
      <c r="C349" s="48">
        <v>45842</v>
      </c>
      <c r="D349" s="49" t="s">
        <v>161</v>
      </c>
      <c r="E349" s="49" t="s">
        <v>68</v>
      </c>
      <c r="F349" s="49" t="s">
        <v>76</v>
      </c>
      <c r="G349" s="49" t="s">
        <v>144</v>
      </c>
      <c r="H349" s="49" t="s">
        <v>84</v>
      </c>
      <c r="I349" s="49" t="s">
        <v>83</v>
      </c>
      <c r="J349" s="49" t="s">
        <v>86</v>
      </c>
      <c r="K349" s="49">
        <v>3</v>
      </c>
      <c r="L349" s="49">
        <v>100</v>
      </c>
      <c r="M349" s="49">
        <v>0.05</v>
      </c>
      <c r="N349" s="49">
        <v>300</v>
      </c>
      <c r="O349" s="49">
        <v>285</v>
      </c>
      <c r="P349" s="49">
        <v>183.39</v>
      </c>
      <c r="Q349" s="49">
        <v>101.61</v>
      </c>
      <c r="R349" s="49">
        <v>0.35649999999999998</v>
      </c>
      <c r="S349" s="49">
        <v>0.64349999999999996</v>
      </c>
      <c r="T349" s="49">
        <v>249</v>
      </c>
      <c r="U349" s="49">
        <v>0.28270000000000001</v>
      </c>
      <c r="V349" s="49">
        <v>0</v>
      </c>
      <c r="W349" s="50">
        <v>0</v>
      </c>
      <c r="X349" s="43"/>
      <c r="Y349" s="43"/>
      <c r="Z349" s="43"/>
      <c r="AA349" s="43"/>
      <c r="AB349" s="43"/>
      <c r="AC349" s="43"/>
    </row>
    <row r="350" spans="1:29" x14ac:dyDescent="0.3">
      <c r="A350" s="43"/>
      <c r="B350" s="45" t="s">
        <v>491</v>
      </c>
      <c r="C350" s="48">
        <v>45447</v>
      </c>
      <c r="D350" s="49" t="s">
        <v>143</v>
      </c>
      <c r="E350" s="49" t="s">
        <v>69</v>
      </c>
      <c r="F350" s="49" t="s">
        <v>72</v>
      </c>
      <c r="G350" s="49" t="s">
        <v>183</v>
      </c>
      <c r="H350" s="49" t="s">
        <v>84</v>
      </c>
      <c r="I350" s="49" t="s">
        <v>80</v>
      </c>
      <c r="J350" s="49" t="s">
        <v>81</v>
      </c>
      <c r="K350" s="49">
        <v>2</v>
      </c>
      <c r="L350" s="49">
        <v>80</v>
      </c>
      <c r="M350" s="49">
        <v>0.05</v>
      </c>
      <c r="N350" s="49">
        <v>160</v>
      </c>
      <c r="O350" s="49">
        <v>152</v>
      </c>
      <c r="P350" s="49">
        <v>78.88</v>
      </c>
      <c r="Q350" s="49">
        <v>73.12</v>
      </c>
      <c r="R350" s="49">
        <v>0.48110000000000003</v>
      </c>
      <c r="S350" s="49">
        <v>0.51890000000000003</v>
      </c>
      <c r="T350" s="49">
        <v>90</v>
      </c>
      <c r="U350" s="49">
        <v>0.24129999999999999</v>
      </c>
      <c r="V350" s="49">
        <v>0</v>
      </c>
      <c r="W350" s="50">
        <v>0</v>
      </c>
      <c r="X350" s="43"/>
      <c r="Y350" s="43"/>
      <c r="Z350" s="43"/>
      <c r="AA350" s="43"/>
      <c r="AB350" s="43"/>
      <c r="AC350" s="43"/>
    </row>
    <row r="351" spans="1:29" x14ac:dyDescent="0.3">
      <c r="A351" s="43"/>
      <c r="B351" s="45" t="s">
        <v>492</v>
      </c>
      <c r="C351" s="48">
        <v>45319</v>
      </c>
      <c r="D351" s="49" t="s">
        <v>161</v>
      </c>
      <c r="E351" s="49" t="s">
        <v>68</v>
      </c>
      <c r="F351" s="49" t="s">
        <v>76</v>
      </c>
      <c r="G351" s="49" t="s">
        <v>141</v>
      </c>
      <c r="H351" s="49" t="s">
        <v>79</v>
      </c>
      <c r="I351" s="49" t="s">
        <v>83</v>
      </c>
      <c r="J351" s="49" t="s">
        <v>81</v>
      </c>
      <c r="K351" s="49">
        <v>2</v>
      </c>
      <c r="L351" s="49">
        <v>200</v>
      </c>
      <c r="M351" s="49">
        <v>0.1</v>
      </c>
      <c r="N351" s="49">
        <v>400</v>
      </c>
      <c r="O351" s="49">
        <v>360</v>
      </c>
      <c r="P351" s="49">
        <v>227.03</v>
      </c>
      <c r="Q351" s="49">
        <v>132.97</v>
      </c>
      <c r="R351" s="49">
        <v>0.36940000000000001</v>
      </c>
      <c r="S351" s="49">
        <v>0.63060000000000005</v>
      </c>
      <c r="T351" s="49">
        <v>445</v>
      </c>
      <c r="U351" s="49">
        <v>0.4</v>
      </c>
      <c r="V351" s="49">
        <v>1</v>
      </c>
      <c r="W351" s="50">
        <v>0.5</v>
      </c>
      <c r="X351" s="43"/>
      <c r="Y351" s="43"/>
      <c r="Z351" s="43"/>
      <c r="AA351" s="43"/>
      <c r="AB351" s="43"/>
      <c r="AC351" s="43"/>
    </row>
    <row r="352" spans="1:29" x14ac:dyDescent="0.3">
      <c r="A352" s="43"/>
      <c r="B352" s="45" t="s">
        <v>493</v>
      </c>
      <c r="C352" s="48">
        <v>45648</v>
      </c>
      <c r="D352" s="49" t="s">
        <v>151</v>
      </c>
      <c r="E352" s="49" t="s">
        <v>70</v>
      </c>
      <c r="F352" s="49" t="s">
        <v>74</v>
      </c>
      <c r="G352" s="49" t="s">
        <v>183</v>
      </c>
      <c r="H352" s="49" t="s">
        <v>79</v>
      </c>
      <c r="I352" s="49" t="s">
        <v>83</v>
      </c>
      <c r="J352" s="49" t="s">
        <v>81</v>
      </c>
      <c r="K352" s="49">
        <v>4</v>
      </c>
      <c r="L352" s="49">
        <v>150</v>
      </c>
      <c r="M352" s="49">
        <v>0.08</v>
      </c>
      <c r="N352" s="49">
        <v>600</v>
      </c>
      <c r="O352" s="49">
        <v>552</v>
      </c>
      <c r="P352" s="49">
        <v>403</v>
      </c>
      <c r="Q352" s="49">
        <v>149</v>
      </c>
      <c r="R352" s="49">
        <v>0.26989999999999997</v>
      </c>
      <c r="S352" s="49">
        <v>0.73009999999999997</v>
      </c>
      <c r="T352" s="49">
        <v>683</v>
      </c>
      <c r="U352" s="49">
        <v>0.61329999999999996</v>
      </c>
      <c r="V352" s="49">
        <v>0</v>
      </c>
      <c r="W352" s="50">
        <v>0</v>
      </c>
      <c r="X352" s="43"/>
      <c r="Y352" s="43"/>
      <c r="Z352" s="43"/>
      <c r="AA352" s="43"/>
      <c r="AB352" s="43"/>
      <c r="AC352" s="43"/>
    </row>
    <row r="353" spans="1:29" x14ac:dyDescent="0.3">
      <c r="A353" s="43"/>
      <c r="B353" s="45" t="s">
        <v>494</v>
      </c>
      <c r="C353" s="48">
        <v>45426</v>
      </c>
      <c r="D353" s="49" t="s">
        <v>143</v>
      </c>
      <c r="E353" s="49" t="s">
        <v>69</v>
      </c>
      <c r="F353" s="49" t="s">
        <v>73</v>
      </c>
      <c r="G353" s="49" t="s">
        <v>141</v>
      </c>
      <c r="H353" s="49" t="s">
        <v>84</v>
      </c>
      <c r="I353" s="49" t="s">
        <v>80</v>
      </c>
      <c r="J353" s="49" t="s">
        <v>86</v>
      </c>
      <c r="K353" s="49">
        <v>5</v>
      </c>
      <c r="L353" s="49">
        <v>500</v>
      </c>
      <c r="M353" s="49">
        <v>0</v>
      </c>
      <c r="N353" s="49">
        <v>2500</v>
      </c>
      <c r="O353" s="49">
        <v>2500</v>
      </c>
      <c r="P353" s="49">
        <v>1643.16</v>
      </c>
      <c r="Q353" s="49">
        <v>856.84</v>
      </c>
      <c r="R353" s="49">
        <v>0.3427</v>
      </c>
      <c r="S353" s="49">
        <v>0.6573</v>
      </c>
      <c r="T353" s="49">
        <v>2723</v>
      </c>
      <c r="U353" s="49">
        <v>2.9762</v>
      </c>
      <c r="V353" s="49">
        <v>0</v>
      </c>
      <c r="W353" s="50">
        <v>0</v>
      </c>
      <c r="X353" s="43"/>
      <c r="Y353" s="43"/>
      <c r="Z353" s="43"/>
      <c r="AA353" s="43"/>
      <c r="AB353" s="43"/>
      <c r="AC353" s="43"/>
    </row>
    <row r="354" spans="1:29" x14ac:dyDescent="0.3">
      <c r="A354" s="43"/>
      <c r="B354" s="45" t="s">
        <v>495</v>
      </c>
      <c r="C354" s="48">
        <v>45999</v>
      </c>
      <c r="D354" s="49" t="s">
        <v>151</v>
      </c>
      <c r="E354" s="49" t="s">
        <v>70</v>
      </c>
      <c r="F354" s="49" t="s">
        <v>76</v>
      </c>
      <c r="G354" s="49" t="s">
        <v>147</v>
      </c>
      <c r="H354" s="49" t="s">
        <v>79</v>
      </c>
      <c r="I354" s="49" t="s">
        <v>83</v>
      </c>
      <c r="J354" s="49" t="s">
        <v>81</v>
      </c>
      <c r="K354" s="49">
        <v>7</v>
      </c>
      <c r="L354" s="49">
        <v>25</v>
      </c>
      <c r="M354" s="49">
        <v>0.1</v>
      </c>
      <c r="N354" s="49">
        <v>175</v>
      </c>
      <c r="O354" s="49">
        <v>157.5</v>
      </c>
      <c r="P354" s="49">
        <v>100.15</v>
      </c>
      <c r="Q354" s="49">
        <v>57.35</v>
      </c>
      <c r="R354" s="49">
        <v>0.36409999999999998</v>
      </c>
      <c r="S354" s="49">
        <v>0.63590000000000002</v>
      </c>
      <c r="T354" s="49">
        <v>165</v>
      </c>
      <c r="U354" s="49">
        <v>0.14580000000000001</v>
      </c>
      <c r="V354" s="49">
        <v>0</v>
      </c>
      <c r="W354" s="50">
        <v>0</v>
      </c>
      <c r="X354" s="43"/>
      <c r="Y354" s="43"/>
      <c r="Z354" s="43"/>
      <c r="AA354" s="43"/>
      <c r="AB354" s="43"/>
      <c r="AC354" s="43"/>
    </row>
    <row r="355" spans="1:29" x14ac:dyDescent="0.3">
      <c r="A355" s="43"/>
      <c r="B355" s="45" t="s">
        <v>496</v>
      </c>
      <c r="C355" s="48">
        <v>45706</v>
      </c>
      <c r="D355" s="49" t="s">
        <v>137</v>
      </c>
      <c r="E355" s="49" t="s">
        <v>71</v>
      </c>
      <c r="F355" s="49" t="s">
        <v>74</v>
      </c>
      <c r="G355" s="49" t="s">
        <v>153</v>
      </c>
      <c r="H355" s="49" t="s">
        <v>85</v>
      </c>
      <c r="I355" s="49" t="s">
        <v>83</v>
      </c>
      <c r="J355" s="49" t="s">
        <v>81</v>
      </c>
      <c r="K355" s="49">
        <v>5</v>
      </c>
      <c r="L355" s="49">
        <v>150</v>
      </c>
      <c r="M355" s="49">
        <v>0.05</v>
      </c>
      <c r="N355" s="49">
        <v>750</v>
      </c>
      <c r="O355" s="49">
        <v>712.5</v>
      </c>
      <c r="P355" s="49">
        <v>517.07000000000005</v>
      </c>
      <c r="Q355" s="49">
        <v>195.43</v>
      </c>
      <c r="R355" s="49">
        <v>0.27429999999999999</v>
      </c>
      <c r="S355" s="49">
        <v>0.72570000000000001</v>
      </c>
      <c r="T355" s="49">
        <v>755</v>
      </c>
      <c r="U355" s="49">
        <v>0.95</v>
      </c>
      <c r="V355" s="49">
        <v>0</v>
      </c>
      <c r="W355" s="50">
        <v>0</v>
      </c>
      <c r="X355" s="43"/>
      <c r="Y355" s="43"/>
      <c r="Z355" s="43"/>
      <c r="AA355" s="43"/>
      <c r="AB355" s="43"/>
      <c r="AC355" s="43"/>
    </row>
    <row r="356" spans="1:29" x14ac:dyDescent="0.3">
      <c r="A356" s="43"/>
      <c r="B356" s="45" t="s">
        <v>497</v>
      </c>
      <c r="C356" s="48">
        <v>45906</v>
      </c>
      <c r="D356" s="49" t="s">
        <v>143</v>
      </c>
      <c r="E356" s="49" t="s">
        <v>69</v>
      </c>
      <c r="F356" s="49" t="s">
        <v>73</v>
      </c>
      <c r="G356" s="49" t="s">
        <v>153</v>
      </c>
      <c r="H356" s="49" t="s">
        <v>85</v>
      </c>
      <c r="I356" s="49" t="s">
        <v>80</v>
      </c>
      <c r="J356" s="49" t="s">
        <v>81</v>
      </c>
      <c r="K356" s="49">
        <v>5</v>
      </c>
      <c r="L356" s="49">
        <v>150</v>
      </c>
      <c r="M356" s="49">
        <v>0.05</v>
      </c>
      <c r="N356" s="49">
        <v>750</v>
      </c>
      <c r="O356" s="49">
        <v>712.5</v>
      </c>
      <c r="P356" s="49">
        <v>407.82</v>
      </c>
      <c r="Q356" s="49">
        <v>304.68</v>
      </c>
      <c r="R356" s="49">
        <v>0.42759999999999998</v>
      </c>
      <c r="S356" s="49">
        <v>0.57240000000000002</v>
      </c>
      <c r="T356" s="49">
        <v>847</v>
      </c>
      <c r="U356" s="49">
        <v>0.79520000000000002</v>
      </c>
      <c r="V356" s="49">
        <v>0</v>
      </c>
      <c r="W356" s="50">
        <v>0</v>
      </c>
      <c r="X356" s="43"/>
      <c r="Y356" s="43"/>
      <c r="Z356" s="43"/>
      <c r="AA356" s="43"/>
      <c r="AB356" s="43"/>
      <c r="AC356" s="43"/>
    </row>
    <row r="357" spans="1:29" x14ac:dyDescent="0.3">
      <c r="A357" s="43"/>
      <c r="B357" s="45" t="s">
        <v>498</v>
      </c>
      <c r="C357" s="48">
        <v>45299</v>
      </c>
      <c r="D357" s="49" t="s">
        <v>161</v>
      </c>
      <c r="E357" s="49" t="s">
        <v>68</v>
      </c>
      <c r="F357" s="49" t="s">
        <v>72</v>
      </c>
      <c r="G357" s="49" t="s">
        <v>183</v>
      </c>
      <c r="H357" s="49" t="s">
        <v>82</v>
      </c>
      <c r="I357" s="49" t="s">
        <v>80</v>
      </c>
      <c r="J357" s="49" t="s">
        <v>81</v>
      </c>
      <c r="K357" s="49">
        <v>1</v>
      </c>
      <c r="L357" s="49">
        <v>40</v>
      </c>
      <c r="M357" s="49">
        <v>0.03</v>
      </c>
      <c r="N357" s="49">
        <v>40</v>
      </c>
      <c r="O357" s="49">
        <v>38.799999999999997</v>
      </c>
      <c r="P357" s="49">
        <v>24.86</v>
      </c>
      <c r="Q357" s="49">
        <v>13.94</v>
      </c>
      <c r="R357" s="49">
        <v>0.35930000000000001</v>
      </c>
      <c r="S357" s="49">
        <v>0.64070000000000005</v>
      </c>
      <c r="T357" s="49">
        <v>90</v>
      </c>
      <c r="U357" s="49">
        <v>6.4699999999999994E-2</v>
      </c>
      <c r="V357" s="49">
        <v>0</v>
      </c>
      <c r="W357" s="50">
        <v>0</v>
      </c>
      <c r="X357" s="43"/>
      <c r="Y357" s="43"/>
      <c r="Z357" s="43"/>
      <c r="AA357" s="43"/>
      <c r="AB357" s="43"/>
      <c r="AC357" s="43"/>
    </row>
    <row r="358" spans="1:29" x14ac:dyDescent="0.3">
      <c r="A358" s="43"/>
      <c r="B358" s="45" t="s">
        <v>499</v>
      </c>
      <c r="C358" s="48">
        <v>45445</v>
      </c>
      <c r="D358" s="49" t="s">
        <v>161</v>
      </c>
      <c r="E358" s="49" t="s">
        <v>68</v>
      </c>
      <c r="F358" s="49" t="s">
        <v>75</v>
      </c>
      <c r="G358" s="49" t="s">
        <v>141</v>
      </c>
      <c r="H358" s="49" t="s">
        <v>84</v>
      </c>
      <c r="I358" s="49" t="s">
        <v>80</v>
      </c>
      <c r="J358" s="49" t="s">
        <v>81</v>
      </c>
      <c r="K358" s="49">
        <v>4</v>
      </c>
      <c r="L358" s="49">
        <v>500</v>
      </c>
      <c r="M358" s="49">
        <v>0.03</v>
      </c>
      <c r="N358" s="49">
        <v>2000</v>
      </c>
      <c r="O358" s="49">
        <v>1940</v>
      </c>
      <c r="P358" s="49">
        <v>1061.5</v>
      </c>
      <c r="Q358" s="49">
        <v>878.5</v>
      </c>
      <c r="R358" s="49">
        <v>0.45279999999999998</v>
      </c>
      <c r="S358" s="49">
        <v>0.54720000000000002</v>
      </c>
      <c r="T358" s="49">
        <v>1136</v>
      </c>
      <c r="U358" s="49">
        <v>2.8445999999999998</v>
      </c>
      <c r="V358" s="49">
        <v>0</v>
      </c>
      <c r="W358" s="50">
        <v>0</v>
      </c>
      <c r="X358" s="43"/>
      <c r="Y358" s="43"/>
      <c r="Z358" s="43"/>
      <c r="AA358" s="43"/>
      <c r="AB358" s="43"/>
      <c r="AC358" s="43"/>
    </row>
    <row r="359" spans="1:29" x14ac:dyDescent="0.3">
      <c r="A359" s="43"/>
      <c r="B359" s="45" t="s">
        <v>500</v>
      </c>
      <c r="C359" s="48">
        <v>45491</v>
      </c>
      <c r="D359" s="49" t="s">
        <v>143</v>
      </c>
      <c r="E359" s="49" t="s">
        <v>69</v>
      </c>
      <c r="F359" s="49" t="s">
        <v>76</v>
      </c>
      <c r="G359" s="49" t="s">
        <v>183</v>
      </c>
      <c r="H359" s="49" t="s">
        <v>79</v>
      </c>
      <c r="I359" s="49" t="s">
        <v>83</v>
      </c>
      <c r="J359" s="49" t="s">
        <v>81</v>
      </c>
      <c r="K359" s="49">
        <v>5</v>
      </c>
      <c r="L359" s="49">
        <v>60</v>
      </c>
      <c r="M359" s="49">
        <v>0.03</v>
      </c>
      <c r="N359" s="49">
        <v>300</v>
      </c>
      <c r="O359" s="49">
        <v>291</v>
      </c>
      <c r="P359" s="49">
        <v>181.7</v>
      </c>
      <c r="Q359" s="49">
        <v>109.3</v>
      </c>
      <c r="R359" s="49">
        <v>0.37559999999999999</v>
      </c>
      <c r="S359" s="49">
        <v>0.62439999999999996</v>
      </c>
      <c r="T359" s="49">
        <v>252</v>
      </c>
      <c r="U359" s="49">
        <v>0.28870000000000001</v>
      </c>
      <c r="V359" s="49">
        <v>0</v>
      </c>
      <c r="W359" s="50">
        <v>0</v>
      </c>
      <c r="X359" s="43"/>
      <c r="Y359" s="43"/>
      <c r="Z359" s="43"/>
      <c r="AA359" s="43"/>
      <c r="AB359" s="43"/>
      <c r="AC359" s="43"/>
    </row>
    <row r="360" spans="1:29" x14ac:dyDescent="0.3">
      <c r="A360" s="43"/>
      <c r="B360" s="45" t="s">
        <v>501</v>
      </c>
      <c r="C360" s="48">
        <v>45556</v>
      </c>
      <c r="D360" s="49" t="s">
        <v>140</v>
      </c>
      <c r="E360" s="49" t="s">
        <v>71</v>
      </c>
      <c r="F360" s="49" t="s">
        <v>75</v>
      </c>
      <c r="G360" s="49" t="s">
        <v>144</v>
      </c>
      <c r="H360" s="49" t="s">
        <v>84</v>
      </c>
      <c r="I360" s="49" t="s">
        <v>83</v>
      </c>
      <c r="J360" s="49" t="s">
        <v>81</v>
      </c>
      <c r="K360" s="49">
        <v>1</v>
      </c>
      <c r="L360" s="49">
        <v>40</v>
      </c>
      <c r="M360" s="49">
        <v>0.05</v>
      </c>
      <c r="N360" s="49">
        <v>40</v>
      </c>
      <c r="O360" s="49">
        <v>38</v>
      </c>
      <c r="P360" s="49">
        <v>21.65</v>
      </c>
      <c r="Q360" s="49">
        <v>16.350000000000001</v>
      </c>
      <c r="R360" s="49">
        <v>0.43030000000000002</v>
      </c>
      <c r="S360" s="49">
        <v>0.56969999999999998</v>
      </c>
      <c r="T360" s="49">
        <v>88</v>
      </c>
      <c r="U360" s="49">
        <v>5.2200000000000003E-2</v>
      </c>
      <c r="V360" s="49">
        <v>0</v>
      </c>
      <c r="W360" s="50">
        <v>0</v>
      </c>
      <c r="X360" s="43"/>
      <c r="Y360" s="43"/>
      <c r="Z360" s="43"/>
      <c r="AA360" s="43"/>
      <c r="AB360" s="43"/>
      <c r="AC360" s="43"/>
    </row>
    <row r="361" spans="1:29" x14ac:dyDescent="0.3">
      <c r="A361" s="43"/>
      <c r="B361" s="45" t="s">
        <v>502</v>
      </c>
      <c r="C361" s="48">
        <v>45612</v>
      </c>
      <c r="D361" s="49" t="s">
        <v>151</v>
      </c>
      <c r="E361" s="49" t="s">
        <v>70</v>
      </c>
      <c r="F361" s="49" t="s">
        <v>73</v>
      </c>
      <c r="G361" s="49" t="s">
        <v>144</v>
      </c>
      <c r="H361" s="49" t="s">
        <v>79</v>
      </c>
      <c r="I361" s="49" t="s">
        <v>83</v>
      </c>
      <c r="J361" s="49" t="s">
        <v>81</v>
      </c>
      <c r="K361" s="49">
        <v>5</v>
      </c>
      <c r="L361" s="49">
        <v>100</v>
      </c>
      <c r="M361" s="49">
        <v>0.03</v>
      </c>
      <c r="N361" s="49">
        <v>500</v>
      </c>
      <c r="O361" s="49">
        <v>485</v>
      </c>
      <c r="P361" s="49">
        <v>324.85000000000002</v>
      </c>
      <c r="Q361" s="49">
        <v>160.15</v>
      </c>
      <c r="R361" s="49">
        <v>0.33019999999999999</v>
      </c>
      <c r="S361" s="49">
        <v>0.66979999999999995</v>
      </c>
      <c r="T361" s="49">
        <v>583</v>
      </c>
      <c r="U361" s="49">
        <v>0.50519999999999998</v>
      </c>
      <c r="V361" s="49">
        <v>0</v>
      </c>
      <c r="W361" s="50">
        <v>0</v>
      </c>
      <c r="X361" s="43"/>
      <c r="Y361" s="43"/>
      <c r="Z361" s="43"/>
      <c r="AA361" s="43"/>
      <c r="AB361" s="43"/>
      <c r="AC361" s="43"/>
    </row>
    <row r="362" spans="1:29" x14ac:dyDescent="0.3">
      <c r="A362" s="43"/>
      <c r="B362" s="45" t="s">
        <v>503</v>
      </c>
      <c r="C362" s="48">
        <v>45856</v>
      </c>
      <c r="D362" s="49" t="s">
        <v>149</v>
      </c>
      <c r="E362" s="49" t="s">
        <v>70</v>
      </c>
      <c r="F362" s="49" t="s">
        <v>73</v>
      </c>
      <c r="G362" s="49" t="s">
        <v>183</v>
      </c>
      <c r="H362" s="49" t="s">
        <v>82</v>
      </c>
      <c r="I362" s="49" t="s">
        <v>80</v>
      </c>
      <c r="J362" s="49" t="s">
        <v>81</v>
      </c>
      <c r="K362" s="49">
        <v>3</v>
      </c>
      <c r="L362" s="49">
        <v>150</v>
      </c>
      <c r="M362" s="49">
        <v>0.08</v>
      </c>
      <c r="N362" s="49">
        <v>450</v>
      </c>
      <c r="O362" s="49">
        <v>414</v>
      </c>
      <c r="P362" s="49">
        <v>287.77999999999997</v>
      </c>
      <c r="Q362" s="49">
        <v>126.22</v>
      </c>
      <c r="R362" s="49">
        <v>0.3049</v>
      </c>
      <c r="S362" s="49">
        <v>0.69510000000000005</v>
      </c>
      <c r="T362" s="49">
        <v>327</v>
      </c>
      <c r="U362" s="49">
        <v>0.46210000000000001</v>
      </c>
      <c r="V362" s="49">
        <v>0</v>
      </c>
      <c r="W362" s="50">
        <v>0</v>
      </c>
      <c r="X362" s="43"/>
      <c r="Y362" s="43"/>
      <c r="Z362" s="43"/>
      <c r="AA362" s="43"/>
      <c r="AB362" s="43"/>
      <c r="AC362" s="43"/>
    </row>
    <row r="363" spans="1:29" x14ac:dyDescent="0.3">
      <c r="A363" s="43"/>
      <c r="B363" s="45" t="s">
        <v>504</v>
      </c>
      <c r="C363" s="48">
        <v>45355</v>
      </c>
      <c r="D363" s="49" t="s">
        <v>143</v>
      </c>
      <c r="E363" s="49" t="s">
        <v>69</v>
      </c>
      <c r="F363" s="49" t="s">
        <v>72</v>
      </c>
      <c r="G363" s="49" t="s">
        <v>183</v>
      </c>
      <c r="H363" s="49" t="s">
        <v>84</v>
      </c>
      <c r="I363" s="49" t="s">
        <v>80</v>
      </c>
      <c r="J363" s="49" t="s">
        <v>81</v>
      </c>
      <c r="K363" s="49">
        <v>6</v>
      </c>
      <c r="L363" s="49">
        <v>40</v>
      </c>
      <c r="M363" s="49">
        <v>0.08</v>
      </c>
      <c r="N363" s="49">
        <v>240</v>
      </c>
      <c r="O363" s="49">
        <v>220.8</v>
      </c>
      <c r="P363" s="49">
        <v>140.54</v>
      </c>
      <c r="Q363" s="49">
        <v>80.260000000000005</v>
      </c>
      <c r="R363" s="49">
        <v>0.36349999999999999</v>
      </c>
      <c r="S363" s="49">
        <v>0.63649999999999995</v>
      </c>
      <c r="T363" s="49">
        <v>299</v>
      </c>
      <c r="U363" s="49">
        <v>0.36799999999999999</v>
      </c>
      <c r="V363" s="49">
        <v>0</v>
      </c>
      <c r="W363" s="50">
        <v>0</v>
      </c>
      <c r="X363" s="43"/>
      <c r="Y363" s="43"/>
      <c r="Z363" s="43"/>
      <c r="AA363" s="43"/>
      <c r="AB363" s="43"/>
      <c r="AC363" s="43"/>
    </row>
    <row r="364" spans="1:29" x14ac:dyDescent="0.3">
      <c r="A364" s="43"/>
      <c r="B364" s="45" t="s">
        <v>505</v>
      </c>
      <c r="C364" s="48">
        <v>45403</v>
      </c>
      <c r="D364" s="49" t="s">
        <v>149</v>
      </c>
      <c r="E364" s="49" t="s">
        <v>70</v>
      </c>
      <c r="F364" s="49" t="s">
        <v>73</v>
      </c>
      <c r="G364" s="49" t="s">
        <v>141</v>
      </c>
      <c r="H364" s="49" t="s">
        <v>82</v>
      </c>
      <c r="I364" s="49" t="s">
        <v>80</v>
      </c>
      <c r="J364" s="49" t="s">
        <v>81</v>
      </c>
      <c r="K364" s="49">
        <v>3</v>
      </c>
      <c r="L364" s="49">
        <v>150</v>
      </c>
      <c r="M364" s="49">
        <v>0.05</v>
      </c>
      <c r="N364" s="49">
        <v>450</v>
      </c>
      <c r="O364" s="49">
        <v>427.5</v>
      </c>
      <c r="P364" s="49">
        <v>283.31</v>
      </c>
      <c r="Q364" s="49">
        <v>144.19</v>
      </c>
      <c r="R364" s="49">
        <v>0.33729999999999999</v>
      </c>
      <c r="S364" s="49">
        <v>0.66269999999999996</v>
      </c>
      <c r="T364" s="49">
        <v>717</v>
      </c>
      <c r="U364" s="49">
        <v>0.50890000000000002</v>
      </c>
      <c r="V364" s="49">
        <v>0</v>
      </c>
      <c r="W364" s="50">
        <v>0</v>
      </c>
      <c r="X364" s="43"/>
      <c r="Y364" s="43"/>
      <c r="Z364" s="43"/>
      <c r="AA364" s="43"/>
      <c r="AB364" s="43"/>
      <c r="AC364" s="43"/>
    </row>
    <row r="365" spans="1:29" x14ac:dyDescent="0.3">
      <c r="A365" s="43"/>
      <c r="B365" s="45" t="s">
        <v>506</v>
      </c>
      <c r="C365" s="48">
        <v>45295</v>
      </c>
      <c r="D365" s="49" t="s">
        <v>161</v>
      </c>
      <c r="E365" s="49" t="s">
        <v>68</v>
      </c>
      <c r="F365" s="49" t="s">
        <v>75</v>
      </c>
      <c r="G365" s="49" t="s">
        <v>153</v>
      </c>
      <c r="H365" s="49" t="s">
        <v>79</v>
      </c>
      <c r="I365" s="49" t="s">
        <v>80</v>
      </c>
      <c r="J365" s="49" t="s">
        <v>81</v>
      </c>
      <c r="K365" s="49">
        <v>3</v>
      </c>
      <c r="L365" s="49">
        <v>100</v>
      </c>
      <c r="M365" s="49">
        <v>0</v>
      </c>
      <c r="N365" s="49">
        <v>300</v>
      </c>
      <c r="O365" s="49">
        <v>300</v>
      </c>
      <c r="P365" s="49">
        <v>215.05</v>
      </c>
      <c r="Q365" s="49">
        <v>84.95</v>
      </c>
      <c r="R365" s="49">
        <v>0.28320000000000001</v>
      </c>
      <c r="S365" s="49">
        <v>0.71679999999999999</v>
      </c>
      <c r="T365" s="49">
        <v>322</v>
      </c>
      <c r="U365" s="49">
        <v>0.46150000000000002</v>
      </c>
      <c r="V365" s="49">
        <v>0</v>
      </c>
      <c r="W365" s="50">
        <v>0</v>
      </c>
      <c r="X365" s="43"/>
      <c r="Y365" s="43"/>
      <c r="Z365" s="43"/>
      <c r="AA365" s="43"/>
      <c r="AB365" s="43"/>
      <c r="AC365" s="43"/>
    </row>
    <row r="366" spans="1:29" x14ac:dyDescent="0.3">
      <c r="A366" s="43"/>
      <c r="B366" s="45" t="s">
        <v>507</v>
      </c>
      <c r="C366" s="48">
        <v>45684</v>
      </c>
      <c r="D366" s="49" t="s">
        <v>161</v>
      </c>
      <c r="E366" s="49" t="s">
        <v>68</v>
      </c>
      <c r="F366" s="49" t="s">
        <v>73</v>
      </c>
      <c r="G366" s="49" t="s">
        <v>144</v>
      </c>
      <c r="H366" s="49" t="s">
        <v>82</v>
      </c>
      <c r="I366" s="49" t="s">
        <v>80</v>
      </c>
      <c r="J366" s="49" t="s">
        <v>81</v>
      </c>
      <c r="K366" s="49">
        <v>6</v>
      </c>
      <c r="L366" s="49">
        <v>25</v>
      </c>
      <c r="M366" s="49">
        <v>0</v>
      </c>
      <c r="N366" s="49">
        <v>150</v>
      </c>
      <c r="O366" s="49">
        <v>150</v>
      </c>
      <c r="P366" s="49">
        <v>98.83</v>
      </c>
      <c r="Q366" s="49">
        <v>51.17</v>
      </c>
      <c r="R366" s="49">
        <v>0.34110000000000001</v>
      </c>
      <c r="S366" s="49">
        <v>0.65890000000000004</v>
      </c>
      <c r="T366" s="49">
        <v>202</v>
      </c>
      <c r="U366" s="49">
        <v>0.1875</v>
      </c>
      <c r="V366" s="49">
        <v>0</v>
      </c>
      <c r="W366" s="50">
        <v>0</v>
      </c>
      <c r="X366" s="43"/>
      <c r="Y366" s="43"/>
      <c r="Z366" s="43"/>
      <c r="AA366" s="43"/>
      <c r="AB366" s="43"/>
      <c r="AC366" s="43"/>
    </row>
    <row r="367" spans="1:29" x14ac:dyDescent="0.3">
      <c r="A367" s="43"/>
      <c r="B367" s="45" t="s">
        <v>508</v>
      </c>
      <c r="C367" s="48">
        <v>45504</v>
      </c>
      <c r="D367" s="49" t="s">
        <v>151</v>
      </c>
      <c r="E367" s="49" t="s">
        <v>70</v>
      </c>
      <c r="F367" s="49" t="s">
        <v>72</v>
      </c>
      <c r="G367" s="49" t="s">
        <v>138</v>
      </c>
      <c r="H367" s="49" t="s">
        <v>84</v>
      </c>
      <c r="I367" s="49" t="s">
        <v>80</v>
      </c>
      <c r="J367" s="49" t="s">
        <v>81</v>
      </c>
      <c r="K367" s="49">
        <v>3</v>
      </c>
      <c r="L367" s="49">
        <v>200</v>
      </c>
      <c r="M367" s="49">
        <v>0.03</v>
      </c>
      <c r="N367" s="49">
        <v>600</v>
      </c>
      <c r="O367" s="49">
        <v>582</v>
      </c>
      <c r="P367" s="49">
        <v>400.25</v>
      </c>
      <c r="Q367" s="49">
        <v>181.75</v>
      </c>
      <c r="R367" s="49">
        <v>0.31230000000000002</v>
      </c>
      <c r="S367" s="49">
        <v>0.68769999999999998</v>
      </c>
      <c r="T367" s="49">
        <v>709</v>
      </c>
      <c r="U367" s="49">
        <v>0.86609999999999998</v>
      </c>
      <c r="V367" s="49">
        <v>0</v>
      </c>
      <c r="W367" s="50">
        <v>0</v>
      </c>
      <c r="X367" s="43"/>
      <c r="Y367" s="43"/>
      <c r="Z367" s="43"/>
      <c r="AA367" s="43"/>
      <c r="AB367" s="43"/>
      <c r="AC367" s="43"/>
    </row>
    <row r="368" spans="1:29" x14ac:dyDescent="0.3">
      <c r="A368" s="43"/>
      <c r="B368" s="45" t="s">
        <v>509</v>
      </c>
      <c r="C368" s="48">
        <v>45626</v>
      </c>
      <c r="D368" s="49" t="s">
        <v>161</v>
      </c>
      <c r="E368" s="49" t="s">
        <v>68</v>
      </c>
      <c r="F368" s="49" t="s">
        <v>73</v>
      </c>
      <c r="G368" s="49" t="s">
        <v>144</v>
      </c>
      <c r="H368" s="49" t="s">
        <v>85</v>
      </c>
      <c r="I368" s="49" t="s">
        <v>83</v>
      </c>
      <c r="J368" s="49" t="s">
        <v>86</v>
      </c>
      <c r="K368" s="49">
        <v>5</v>
      </c>
      <c r="L368" s="49">
        <v>750</v>
      </c>
      <c r="M368" s="49">
        <v>0.15</v>
      </c>
      <c r="N368" s="49">
        <v>3750</v>
      </c>
      <c r="O368" s="49">
        <v>3187.5</v>
      </c>
      <c r="P368" s="49">
        <v>1920.47</v>
      </c>
      <c r="Q368" s="49">
        <v>1267.03</v>
      </c>
      <c r="R368" s="49">
        <v>0.39750000000000002</v>
      </c>
      <c r="S368" s="49">
        <v>0.60250000000000004</v>
      </c>
      <c r="T368" s="49">
        <v>1864</v>
      </c>
      <c r="U368" s="49">
        <v>3.3203</v>
      </c>
      <c r="V368" s="49">
        <v>0</v>
      </c>
      <c r="W368" s="50">
        <v>0</v>
      </c>
      <c r="X368" s="43"/>
      <c r="Y368" s="43"/>
      <c r="Z368" s="43"/>
      <c r="AA368" s="43"/>
      <c r="AB368" s="43"/>
      <c r="AC368" s="43"/>
    </row>
    <row r="369" spans="1:29" x14ac:dyDescent="0.3">
      <c r="A369" s="43"/>
      <c r="B369" s="45" t="s">
        <v>510</v>
      </c>
      <c r="C369" s="48">
        <v>45505</v>
      </c>
      <c r="D369" s="49" t="s">
        <v>137</v>
      </c>
      <c r="E369" s="49" t="s">
        <v>71</v>
      </c>
      <c r="F369" s="49" t="s">
        <v>74</v>
      </c>
      <c r="G369" s="49" t="s">
        <v>147</v>
      </c>
      <c r="H369" s="49" t="s">
        <v>79</v>
      </c>
      <c r="I369" s="49" t="s">
        <v>80</v>
      </c>
      <c r="J369" s="49" t="s">
        <v>86</v>
      </c>
      <c r="K369" s="49">
        <v>4</v>
      </c>
      <c r="L369" s="49">
        <v>100</v>
      </c>
      <c r="M369" s="49">
        <v>0.05</v>
      </c>
      <c r="N369" s="49">
        <v>400</v>
      </c>
      <c r="O369" s="49">
        <v>380</v>
      </c>
      <c r="P369" s="49">
        <v>257.97000000000003</v>
      </c>
      <c r="Q369" s="49">
        <v>122.03</v>
      </c>
      <c r="R369" s="49">
        <v>0.3211</v>
      </c>
      <c r="S369" s="49">
        <v>0.67889999999999995</v>
      </c>
      <c r="T369" s="49">
        <v>624</v>
      </c>
      <c r="U369" s="49">
        <v>0.45240000000000002</v>
      </c>
      <c r="V369" s="49">
        <v>0</v>
      </c>
      <c r="W369" s="50">
        <v>0</v>
      </c>
      <c r="X369" s="43"/>
      <c r="Y369" s="43"/>
      <c r="Z369" s="43"/>
      <c r="AA369" s="43"/>
      <c r="AB369" s="43"/>
      <c r="AC369" s="43"/>
    </row>
    <row r="370" spans="1:29" x14ac:dyDescent="0.3">
      <c r="A370" s="43"/>
      <c r="B370" s="45" t="s">
        <v>511</v>
      </c>
      <c r="C370" s="48">
        <v>45372</v>
      </c>
      <c r="D370" s="49" t="s">
        <v>137</v>
      </c>
      <c r="E370" s="49" t="s">
        <v>71</v>
      </c>
      <c r="F370" s="49" t="s">
        <v>74</v>
      </c>
      <c r="G370" s="49" t="s">
        <v>138</v>
      </c>
      <c r="H370" s="49" t="s">
        <v>84</v>
      </c>
      <c r="I370" s="49" t="s">
        <v>80</v>
      </c>
      <c r="J370" s="49" t="s">
        <v>81</v>
      </c>
      <c r="K370" s="49">
        <v>6</v>
      </c>
      <c r="L370" s="49">
        <v>300</v>
      </c>
      <c r="M370" s="49">
        <v>0</v>
      </c>
      <c r="N370" s="49">
        <v>1800</v>
      </c>
      <c r="O370" s="49">
        <v>1800</v>
      </c>
      <c r="P370" s="49">
        <v>1308.49</v>
      </c>
      <c r="Q370" s="49">
        <v>491.51</v>
      </c>
      <c r="R370" s="49">
        <v>0.27310000000000001</v>
      </c>
      <c r="S370" s="49">
        <v>0.72689999999999999</v>
      </c>
      <c r="T370" s="49">
        <v>1183</v>
      </c>
      <c r="U370" s="49">
        <v>2.4</v>
      </c>
      <c r="V370" s="49">
        <v>0</v>
      </c>
      <c r="W370" s="50">
        <v>0</v>
      </c>
      <c r="X370" s="43"/>
      <c r="Y370" s="43"/>
      <c r="Z370" s="43"/>
      <c r="AA370" s="43"/>
      <c r="AB370" s="43"/>
      <c r="AC370" s="43"/>
    </row>
    <row r="371" spans="1:29" x14ac:dyDescent="0.3">
      <c r="A371" s="43"/>
      <c r="B371" s="45" t="s">
        <v>512</v>
      </c>
      <c r="C371" s="48">
        <v>45631</v>
      </c>
      <c r="D371" s="49" t="s">
        <v>151</v>
      </c>
      <c r="E371" s="49" t="s">
        <v>70</v>
      </c>
      <c r="F371" s="49" t="s">
        <v>72</v>
      </c>
      <c r="G371" s="49" t="s">
        <v>138</v>
      </c>
      <c r="H371" s="49" t="s">
        <v>85</v>
      </c>
      <c r="I371" s="49" t="s">
        <v>83</v>
      </c>
      <c r="J371" s="49" t="s">
        <v>81</v>
      </c>
      <c r="K371" s="49">
        <v>5</v>
      </c>
      <c r="L371" s="49">
        <v>25</v>
      </c>
      <c r="M371" s="49">
        <v>0</v>
      </c>
      <c r="N371" s="49">
        <v>125</v>
      </c>
      <c r="O371" s="49">
        <v>125</v>
      </c>
      <c r="P371" s="49">
        <v>87.75</v>
      </c>
      <c r="Q371" s="49">
        <v>37.25</v>
      </c>
      <c r="R371" s="49">
        <v>0.29799999999999999</v>
      </c>
      <c r="S371" s="49">
        <v>0.70199999999999996</v>
      </c>
      <c r="T371" s="49">
        <v>154</v>
      </c>
      <c r="U371" s="49">
        <v>0.1736</v>
      </c>
      <c r="V371" s="49">
        <v>0</v>
      </c>
      <c r="W371" s="50">
        <v>0</v>
      </c>
      <c r="X371" s="43"/>
      <c r="Y371" s="43"/>
      <c r="Z371" s="43"/>
      <c r="AA371" s="43"/>
      <c r="AB371" s="43"/>
      <c r="AC371" s="43"/>
    </row>
    <row r="372" spans="1:29" x14ac:dyDescent="0.3">
      <c r="A372" s="43"/>
      <c r="B372" s="45" t="s">
        <v>513</v>
      </c>
      <c r="C372" s="48">
        <v>45716</v>
      </c>
      <c r="D372" s="49" t="s">
        <v>151</v>
      </c>
      <c r="E372" s="49" t="s">
        <v>70</v>
      </c>
      <c r="F372" s="49" t="s">
        <v>74</v>
      </c>
      <c r="G372" s="49" t="s">
        <v>147</v>
      </c>
      <c r="H372" s="49" t="s">
        <v>82</v>
      </c>
      <c r="I372" s="49" t="s">
        <v>83</v>
      </c>
      <c r="J372" s="49" t="s">
        <v>81</v>
      </c>
      <c r="K372" s="49">
        <v>3</v>
      </c>
      <c r="L372" s="49">
        <v>500</v>
      </c>
      <c r="M372" s="49">
        <v>0.03</v>
      </c>
      <c r="N372" s="49">
        <v>1500</v>
      </c>
      <c r="O372" s="49">
        <v>1455</v>
      </c>
      <c r="P372" s="49">
        <v>890.14</v>
      </c>
      <c r="Q372" s="49">
        <v>564.86</v>
      </c>
      <c r="R372" s="49">
        <v>0.38819999999999999</v>
      </c>
      <c r="S372" s="49">
        <v>0.61180000000000001</v>
      </c>
      <c r="T372" s="49">
        <v>2207</v>
      </c>
      <c r="U372" s="49">
        <v>1.94</v>
      </c>
      <c r="V372" s="49">
        <v>0</v>
      </c>
      <c r="W372" s="50">
        <v>0</v>
      </c>
      <c r="X372" s="43"/>
      <c r="Y372" s="43"/>
      <c r="Z372" s="43"/>
      <c r="AA372" s="43"/>
      <c r="AB372" s="43"/>
      <c r="AC372" s="43"/>
    </row>
    <row r="373" spans="1:29" x14ac:dyDescent="0.3">
      <c r="A373" s="43"/>
      <c r="B373" s="45" t="s">
        <v>514</v>
      </c>
      <c r="C373" s="48">
        <v>45708</v>
      </c>
      <c r="D373" s="49" t="s">
        <v>149</v>
      </c>
      <c r="E373" s="49" t="s">
        <v>70</v>
      </c>
      <c r="F373" s="49" t="s">
        <v>76</v>
      </c>
      <c r="G373" s="49" t="s">
        <v>138</v>
      </c>
      <c r="H373" s="49" t="s">
        <v>85</v>
      </c>
      <c r="I373" s="49" t="s">
        <v>83</v>
      </c>
      <c r="J373" s="49" t="s">
        <v>81</v>
      </c>
      <c r="K373" s="49">
        <v>2</v>
      </c>
      <c r="L373" s="49">
        <v>100</v>
      </c>
      <c r="M373" s="49">
        <v>0</v>
      </c>
      <c r="N373" s="49">
        <v>200</v>
      </c>
      <c r="O373" s="49">
        <v>200</v>
      </c>
      <c r="P373" s="49">
        <v>115.7</v>
      </c>
      <c r="Q373" s="49">
        <v>84.3</v>
      </c>
      <c r="R373" s="49">
        <v>0.42149999999999999</v>
      </c>
      <c r="S373" s="49">
        <v>0.57850000000000001</v>
      </c>
      <c r="T373" s="49">
        <v>235</v>
      </c>
      <c r="U373" s="49">
        <v>0.22220000000000001</v>
      </c>
      <c r="V373" s="49">
        <v>0</v>
      </c>
      <c r="W373" s="50">
        <v>0</v>
      </c>
      <c r="X373" s="43"/>
      <c r="Y373" s="43"/>
      <c r="Z373" s="43"/>
      <c r="AA373" s="43"/>
      <c r="AB373" s="43"/>
      <c r="AC373" s="43"/>
    </row>
    <row r="374" spans="1:29" x14ac:dyDescent="0.3">
      <c r="A374" s="43"/>
      <c r="B374" s="45" t="s">
        <v>515</v>
      </c>
      <c r="C374" s="48">
        <v>45428</v>
      </c>
      <c r="D374" s="49" t="s">
        <v>149</v>
      </c>
      <c r="E374" s="49" t="s">
        <v>70</v>
      </c>
      <c r="F374" s="49" t="s">
        <v>74</v>
      </c>
      <c r="G374" s="49" t="s">
        <v>183</v>
      </c>
      <c r="H374" s="49" t="s">
        <v>82</v>
      </c>
      <c r="I374" s="49" t="s">
        <v>83</v>
      </c>
      <c r="J374" s="49" t="s">
        <v>81</v>
      </c>
      <c r="K374" s="49">
        <v>4</v>
      </c>
      <c r="L374" s="49">
        <v>60</v>
      </c>
      <c r="M374" s="49">
        <v>0.15</v>
      </c>
      <c r="N374" s="49">
        <v>240</v>
      </c>
      <c r="O374" s="49">
        <v>204</v>
      </c>
      <c r="P374" s="49">
        <v>144.47999999999999</v>
      </c>
      <c r="Q374" s="49">
        <v>59.52</v>
      </c>
      <c r="R374" s="49">
        <v>0.2918</v>
      </c>
      <c r="S374" s="49">
        <v>0.70820000000000005</v>
      </c>
      <c r="T374" s="49">
        <v>394</v>
      </c>
      <c r="U374" s="49">
        <v>0.25890000000000002</v>
      </c>
      <c r="V374" s="49">
        <v>1</v>
      </c>
      <c r="W374" s="50">
        <v>0.25</v>
      </c>
      <c r="X374" s="43"/>
      <c r="Y374" s="43"/>
      <c r="Z374" s="43"/>
      <c r="AA374" s="43"/>
      <c r="AB374" s="43"/>
      <c r="AC374" s="43"/>
    </row>
    <row r="375" spans="1:29" x14ac:dyDescent="0.3">
      <c r="A375" s="43"/>
      <c r="B375" s="45" t="s">
        <v>516</v>
      </c>
      <c r="C375" s="48">
        <v>45874</v>
      </c>
      <c r="D375" s="49" t="s">
        <v>151</v>
      </c>
      <c r="E375" s="49" t="s">
        <v>70</v>
      </c>
      <c r="F375" s="49" t="s">
        <v>76</v>
      </c>
      <c r="G375" s="49" t="s">
        <v>147</v>
      </c>
      <c r="H375" s="49" t="s">
        <v>84</v>
      </c>
      <c r="I375" s="49" t="s">
        <v>83</v>
      </c>
      <c r="J375" s="49" t="s">
        <v>86</v>
      </c>
      <c r="K375" s="49">
        <v>4</v>
      </c>
      <c r="L375" s="49">
        <v>80</v>
      </c>
      <c r="M375" s="49">
        <v>0.05</v>
      </c>
      <c r="N375" s="49">
        <v>320</v>
      </c>
      <c r="O375" s="49">
        <v>304</v>
      </c>
      <c r="P375" s="49">
        <v>220.91</v>
      </c>
      <c r="Q375" s="49">
        <v>83.09</v>
      </c>
      <c r="R375" s="49">
        <v>0.27329999999999999</v>
      </c>
      <c r="S375" s="49">
        <v>0.72670000000000001</v>
      </c>
      <c r="T375" s="49">
        <v>356</v>
      </c>
      <c r="U375" s="49">
        <v>0.30159999999999998</v>
      </c>
      <c r="V375" s="49">
        <v>0</v>
      </c>
      <c r="W375" s="50">
        <v>0</v>
      </c>
      <c r="X375" s="43"/>
      <c r="Y375" s="43"/>
      <c r="Z375" s="43"/>
      <c r="AA375" s="43"/>
      <c r="AB375" s="43"/>
      <c r="AC375" s="43"/>
    </row>
    <row r="376" spans="1:29" x14ac:dyDescent="0.3">
      <c r="A376" s="43"/>
      <c r="B376" s="45" t="s">
        <v>517</v>
      </c>
      <c r="C376" s="48">
        <v>45918</v>
      </c>
      <c r="D376" s="49" t="s">
        <v>161</v>
      </c>
      <c r="E376" s="49" t="s">
        <v>68</v>
      </c>
      <c r="F376" s="49" t="s">
        <v>73</v>
      </c>
      <c r="G376" s="49" t="s">
        <v>144</v>
      </c>
      <c r="H376" s="49" t="s">
        <v>85</v>
      </c>
      <c r="I376" s="49" t="s">
        <v>83</v>
      </c>
      <c r="J376" s="49" t="s">
        <v>81</v>
      </c>
      <c r="K376" s="49">
        <v>2</v>
      </c>
      <c r="L376" s="49">
        <v>150</v>
      </c>
      <c r="M376" s="49">
        <v>0.05</v>
      </c>
      <c r="N376" s="49">
        <v>300</v>
      </c>
      <c r="O376" s="49">
        <v>285</v>
      </c>
      <c r="P376" s="49">
        <v>163.85</v>
      </c>
      <c r="Q376" s="49">
        <v>121.15</v>
      </c>
      <c r="R376" s="49">
        <v>0.42509999999999998</v>
      </c>
      <c r="S376" s="49">
        <v>0.57489999999999997</v>
      </c>
      <c r="T376" s="49">
        <v>479</v>
      </c>
      <c r="U376" s="49">
        <v>0.31809999999999999</v>
      </c>
      <c r="V376" s="49">
        <v>0</v>
      </c>
      <c r="W376" s="50">
        <v>0</v>
      </c>
      <c r="X376" s="43"/>
      <c r="Y376" s="43"/>
      <c r="Z376" s="43"/>
      <c r="AA376" s="43"/>
      <c r="AB376" s="43"/>
      <c r="AC376" s="43"/>
    </row>
    <row r="377" spans="1:29" x14ac:dyDescent="0.3">
      <c r="A377" s="43"/>
      <c r="B377" s="45" t="s">
        <v>518</v>
      </c>
      <c r="C377" s="48">
        <v>45963</v>
      </c>
      <c r="D377" s="49" t="s">
        <v>161</v>
      </c>
      <c r="E377" s="49" t="s">
        <v>68</v>
      </c>
      <c r="F377" s="49" t="s">
        <v>76</v>
      </c>
      <c r="G377" s="49" t="s">
        <v>138</v>
      </c>
      <c r="H377" s="49" t="s">
        <v>79</v>
      </c>
      <c r="I377" s="49" t="s">
        <v>83</v>
      </c>
      <c r="J377" s="49" t="s">
        <v>81</v>
      </c>
      <c r="K377" s="49">
        <v>6</v>
      </c>
      <c r="L377" s="49">
        <v>80</v>
      </c>
      <c r="M377" s="49">
        <v>0</v>
      </c>
      <c r="N377" s="49">
        <v>480</v>
      </c>
      <c r="O377" s="49">
        <v>480</v>
      </c>
      <c r="P377" s="49">
        <v>341.73</v>
      </c>
      <c r="Q377" s="49">
        <v>138.27000000000001</v>
      </c>
      <c r="R377" s="49">
        <v>0.28810000000000002</v>
      </c>
      <c r="S377" s="49">
        <v>0.71189999999999998</v>
      </c>
      <c r="T377" s="49">
        <v>521</v>
      </c>
      <c r="U377" s="49">
        <v>0.44440000000000002</v>
      </c>
      <c r="V377" s="49">
        <v>0</v>
      </c>
      <c r="W377" s="50">
        <v>0</v>
      </c>
      <c r="X377" s="43"/>
      <c r="Y377" s="43"/>
      <c r="Z377" s="43"/>
      <c r="AA377" s="43"/>
      <c r="AB377" s="43"/>
      <c r="AC377" s="43"/>
    </row>
    <row r="378" spans="1:29" x14ac:dyDescent="0.3">
      <c r="A378" s="43"/>
      <c r="B378" s="45" t="s">
        <v>519</v>
      </c>
      <c r="C378" s="48">
        <v>45628</v>
      </c>
      <c r="D378" s="49" t="s">
        <v>143</v>
      </c>
      <c r="E378" s="49" t="s">
        <v>69</v>
      </c>
      <c r="F378" s="49" t="s">
        <v>75</v>
      </c>
      <c r="G378" s="49" t="s">
        <v>153</v>
      </c>
      <c r="H378" s="49" t="s">
        <v>85</v>
      </c>
      <c r="I378" s="49" t="s">
        <v>83</v>
      </c>
      <c r="J378" s="49" t="s">
        <v>81</v>
      </c>
      <c r="K378" s="49">
        <v>6</v>
      </c>
      <c r="L378" s="49">
        <v>100</v>
      </c>
      <c r="M378" s="49">
        <v>0</v>
      </c>
      <c r="N378" s="49">
        <v>600</v>
      </c>
      <c r="O378" s="49">
        <v>600</v>
      </c>
      <c r="P378" s="49">
        <v>471.88</v>
      </c>
      <c r="Q378" s="49">
        <v>128.12</v>
      </c>
      <c r="R378" s="49">
        <v>0.2135</v>
      </c>
      <c r="S378" s="49">
        <v>0.78649999999999998</v>
      </c>
      <c r="T378" s="49">
        <v>470</v>
      </c>
      <c r="U378" s="49">
        <v>0.76919999999999999</v>
      </c>
      <c r="V378" s="49">
        <v>0</v>
      </c>
      <c r="W378" s="50">
        <v>0</v>
      </c>
      <c r="X378" s="43"/>
      <c r="Y378" s="43"/>
      <c r="Z378" s="43"/>
      <c r="AA378" s="43"/>
      <c r="AB378" s="43"/>
      <c r="AC378" s="43"/>
    </row>
    <row r="379" spans="1:29" x14ac:dyDescent="0.3">
      <c r="A379" s="43"/>
      <c r="B379" s="45" t="s">
        <v>520</v>
      </c>
      <c r="C379" s="48">
        <v>45958</v>
      </c>
      <c r="D379" s="49" t="s">
        <v>149</v>
      </c>
      <c r="E379" s="49" t="s">
        <v>70</v>
      </c>
      <c r="F379" s="49" t="s">
        <v>72</v>
      </c>
      <c r="G379" s="49" t="s">
        <v>141</v>
      </c>
      <c r="H379" s="49" t="s">
        <v>79</v>
      </c>
      <c r="I379" s="49" t="s">
        <v>80</v>
      </c>
      <c r="J379" s="49" t="s">
        <v>81</v>
      </c>
      <c r="K379" s="49">
        <v>6</v>
      </c>
      <c r="L379" s="49">
        <v>60</v>
      </c>
      <c r="M379" s="49">
        <v>0.1</v>
      </c>
      <c r="N379" s="49">
        <v>360</v>
      </c>
      <c r="O379" s="49">
        <v>324</v>
      </c>
      <c r="P379" s="49">
        <v>232.51</v>
      </c>
      <c r="Q379" s="49">
        <v>91.49</v>
      </c>
      <c r="R379" s="49">
        <v>0.28239999999999998</v>
      </c>
      <c r="S379" s="49">
        <v>0.71760000000000002</v>
      </c>
      <c r="T379" s="49">
        <v>388</v>
      </c>
      <c r="U379" s="49">
        <v>0.45</v>
      </c>
      <c r="V379" s="49">
        <v>1</v>
      </c>
      <c r="W379" s="50">
        <v>0.16669999999999999</v>
      </c>
      <c r="X379" s="43"/>
      <c r="Y379" s="43"/>
      <c r="Z379" s="43"/>
      <c r="AA379" s="43"/>
      <c r="AB379" s="43"/>
      <c r="AC379" s="43"/>
    </row>
    <row r="380" spans="1:29" x14ac:dyDescent="0.3">
      <c r="A380" s="43"/>
      <c r="B380" s="45" t="s">
        <v>521</v>
      </c>
      <c r="C380" s="48">
        <v>45837</v>
      </c>
      <c r="D380" s="49" t="s">
        <v>151</v>
      </c>
      <c r="E380" s="49" t="s">
        <v>70</v>
      </c>
      <c r="F380" s="49" t="s">
        <v>73</v>
      </c>
      <c r="G380" s="49" t="s">
        <v>147</v>
      </c>
      <c r="H380" s="49" t="s">
        <v>85</v>
      </c>
      <c r="I380" s="49" t="s">
        <v>80</v>
      </c>
      <c r="J380" s="49" t="s">
        <v>81</v>
      </c>
      <c r="K380" s="49">
        <v>5</v>
      </c>
      <c r="L380" s="49">
        <v>300</v>
      </c>
      <c r="M380" s="49">
        <v>0.05</v>
      </c>
      <c r="N380" s="49">
        <v>1500</v>
      </c>
      <c r="O380" s="49">
        <v>1425</v>
      </c>
      <c r="P380" s="49">
        <v>922.51</v>
      </c>
      <c r="Q380" s="49">
        <v>502.49</v>
      </c>
      <c r="R380" s="49">
        <v>0.35260000000000002</v>
      </c>
      <c r="S380" s="49">
        <v>0.64739999999999998</v>
      </c>
      <c r="T380" s="49">
        <v>657</v>
      </c>
      <c r="U380" s="49">
        <v>1.6963999999999999</v>
      </c>
      <c r="V380" s="49">
        <v>0</v>
      </c>
      <c r="W380" s="50">
        <v>0</v>
      </c>
      <c r="X380" s="43"/>
      <c r="Y380" s="43"/>
      <c r="Z380" s="43"/>
      <c r="AA380" s="43"/>
      <c r="AB380" s="43"/>
      <c r="AC380" s="43"/>
    </row>
    <row r="381" spans="1:29" x14ac:dyDescent="0.3">
      <c r="A381" s="43"/>
      <c r="B381" s="45" t="s">
        <v>522</v>
      </c>
      <c r="C381" s="48">
        <v>45455</v>
      </c>
      <c r="D381" s="49" t="s">
        <v>137</v>
      </c>
      <c r="E381" s="49" t="s">
        <v>71</v>
      </c>
      <c r="F381" s="49" t="s">
        <v>72</v>
      </c>
      <c r="G381" s="49" t="s">
        <v>153</v>
      </c>
      <c r="H381" s="49" t="s">
        <v>84</v>
      </c>
      <c r="I381" s="49" t="s">
        <v>83</v>
      </c>
      <c r="J381" s="49" t="s">
        <v>81</v>
      </c>
      <c r="K381" s="49">
        <v>2</v>
      </c>
      <c r="L381" s="49">
        <v>25</v>
      </c>
      <c r="M381" s="49">
        <v>0</v>
      </c>
      <c r="N381" s="49">
        <v>50</v>
      </c>
      <c r="O381" s="49">
        <v>50</v>
      </c>
      <c r="P381" s="49">
        <v>26.25</v>
      </c>
      <c r="Q381" s="49">
        <v>23.75</v>
      </c>
      <c r="R381" s="49">
        <v>0.47499999999999998</v>
      </c>
      <c r="S381" s="49">
        <v>0.52500000000000002</v>
      </c>
      <c r="T381" s="49">
        <v>29</v>
      </c>
      <c r="U381" s="49">
        <v>7.9399999999999998E-2</v>
      </c>
      <c r="V381" s="49">
        <v>1</v>
      </c>
      <c r="W381" s="50">
        <v>0.5</v>
      </c>
      <c r="X381" s="43"/>
      <c r="Y381" s="43"/>
      <c r="Z381" s="43"/>
      <c r="AA381" s="43"/>
      <c r="AB381" s="43"/>
      <c r="AC381" s="43"/>
    </row>
    <row r="382" spans="1:29" x14ac:dyDescent="0.3">
      <c r="A382" s="43"/>
      <c r="B382" s="45" t="s">
        <v>523</v>
      </c>
      <c r="C382" s="48">
        <v>45520</v>
      </c>
      <c r="D382" s="49" t="s">
        <v>151</v>
      </c>
      <c r="E382" s="49" t="s">
        <v>70</v>
      </c>
      <c r="F382" s="49" t="s">
        <v>75</v>
      </c>
      <c r="G382" s="49" t="s">
        <v>153</v>
      </c>
      <c r="H382" s="49" t="s">
        <v>84</v>
      </c>
      <c r="I382" s="49" t="s">
        <v>83</v>
      </c>
      <c r="J382" s="49" t="s">
        <v>81</v>
      </c>
      <c r="K382" s="49">
        <v>5</v>
      </c>
      <c r="L382" s="49">
        <v>200</v>
      </c>
      <c r="M382" s="49">
        <v>0.03</v>
      </c>
      <c r="N382" s="49">
        <v>1000</v>
      </c>
      <c r="O382" s="49">
        <v>970</v>
      </c>
      <c r="P382" s="49">
        <v>555.85</v>
      </c>
      <c r="Q382" s="49">
        <v>414.15</v>
      </c>
      <c r="R382" s="49">
        <v>0.42699999999999999</v>
      </c>
      <c r="S382" s="49">
        <v>0.57299999999999995</v>
      </c>
      <c r="T382" s="49">
        <v>716</v>
      </c>
      <c r="U382" s="49">
        <v>1.3324</v>
      </c>
      <c r="V382" s="49">
        <v>0</v>
      </c>
      <c r="W382" s="50">
        <v>0</v>
      </c>
      <c r="X382" s="43"/>
      <c r="Y382" s="43"/>
      <c r="Z382" s="43"/>
      <c r="AA382" s="43"/>
      <c r="AB382" s="43"/>
      <c r="AC382" s="43"/>
    </row>
    <row r="383" spans="1:29" x14ac:dyDescent="0.3">
      <c r="A383" s="43"/>
      <c r="B383" s="45" t="s">
        <v>524</v>
      </c>
      <c r="C383" s="48">
        <v>45480</v>
      </c>
      <c r="D383" s="49" t="s">
        <v>151</v>
      </c>
      <c r="E383" s="49" t="s">
        <v>70</v>
      </c>
      <c r="F383" s="49" t="s">
        <v>76</v>
      </c>
      <c r="G383" s="49" t="s">
        <v>147</v>
      </c>
      <c r="H383" s="49" t="s">
        <v>84</v>
      </c>
      <c r="I383" s="49" t="s">
        <v>83</v>
      </c>
      <c r="J383" s="49" t="s">
        <v>81</v>
      </c>
      <c r="K383" s="49">
        <v>8</v>
      </c>
      <c r="L383" s="49">
        <v>25</v>
      </c>
      <c r="M383" s="49">
        <v>0.08</v>
      </c>
      <c r="N383" s="49">
        <v>200</v>
      </c>
      <c r="O383" s="49">
        <v>184</v>
      </c>
      <c r="P383" s="49">
        <v>106.56</v>
      </c>
      <c r="Q383" s="49">
        <v>77.44</v>
      </c>
      <c r="R383" s="49">
        <v>0.4209</v>
      </c>
      <c r="S383" s="49">
        <v>0.57909999999999995</v>
      </c>
      <c r="T383" s="49">
        <v>201</v>
      </c>
      <c r="U383" s="49">
        <v>0.1825</v>
      </c>
      <c r="V383" s="49">
        <v>0</v>
      </c>
      <c r="W383" s="50">
        <v>0</v>
      </c>
      <c r="X383" s="43"/>
      <c r="Y383" s="43"/>
      <c r="Z383" s="43"/>
      <c r="AA383" s="43"/>
      <c r="AB383" s="43"/>
      <c r="AC383" s="43"/>
    </row>
    <row r="384" spans="1:29" x14ac:dyDescent="0.3">
      <c r="A384" s="43"/>
      <c r="B384" s="45" t="s">
        <v>525</v>
      </c>
      <c r="C384" s="48">
        <v>45438</v>
      </c>
      <c r="D384" s="49" t="s">
        <v>143</v>
      </c>
      <c r="E384" s="49" t="s">
        <v>69</v>
      </c>
      <c r="F384" s="49" t="s">
        <v>72</v>
      </c>
      <c r="G384" s="49" t="s">
        <v>138</v>
      </c>
      <c r="H384" s="49" t="s">
        <v>85</v>
      </c>
      <c r="I384" s="49" t="s">
        <v>80</v>
      </c>
      <c r="J384" s="49" t="s">
        <v>81</v>
      </c>
      <c r="K384" s="49">
        <v>1</v>
      </c>
      <c r="L384" s="49">
        <v>100</v>
      </c>
      <c r="M384" s="49">
        <v>0.15</v>
      </c>
      <c r="N384" s="49">
        <v>100</v>
      </c>
      <c r="O384" s="49">
        <v>85</v>
      </c>
      <c r="P384" s="49">
        <v>58.54</v>
      </c>
      <c r="Q384" s="49">
        <v>26.46</v>
      </c>
      <c r="R384" s="49">
        <v>0.31130000000000002</v>
      </c>
      <c r="S384" s="49">
        <v>0.68869999999999998</v>
      </c>
      <c r="T384" s="49">
        <v>50</v>
      </c>
      <c r="U384" s="49">
        <v>0.13489999999999999</v>
      </c>
      <c r="V384" s="49">
        <v>0</v>
      </c>
      <c r="W384" s="50">
        <v>0</v>
      </c>
      <c r="X384" s="43"/>
      <c r="Y384" s="43"/>
      <c r="Z384" s="43"/>
      <c r="AA384" s="43"/>
      <c r="AB384" s="43"/>
      <c r="AC384" s="43"/>
    </row>
    <row r="385" spans="1:29" x14ac:dyDescent="0.3">
      <c r="A385" s="43"/>
      <c r="B385" s="45" t="s">
        <v>526</v>
      </c>
      <c r="C385" s="48">
        <v>45752</v>
      </c>
      <c r="D385" s="49" t="s">
        <v>151</v>
      </c>
      <c r="E385" s="49" t="s">
        <v>70</v>
      </c>
      <c r="F385" s="49" t="s">
        <v>74</v>
      </c>
      <c r="G385" s="49" t="s">
        <v>147</v>
      </c>
      <c r="H385" s="49" t="s">
        <v>82</v>
      </c>
      <c r="I385" s="49" t="s">
        <v>80</v>
      </c>
      <c r="J385" s="49" t="s">
        <v>81</v>
      </c>
      <c r="K385" s="49">
        <v>4</v>
      </c>
      <c r="L385" s="49">
        <v>150</v>
      </c>
      <c r="M385" s="49">
        <v>0.05</v>
      </c>
      <c r="N385" s="49">
        <v>600</v>
      </c>
      <c r="O385" s="49">
        <v>570</v>
      </c>
      <c r="P385" s="49">
        <v>352.55</v>
      </c>
      <c r="Q385" s="49">
        <v>217.45</v>
      </c>
      <c r="R385" s="49">
        <v>0.38150000000000001</v>
      </c>
      <c r="S385" s="49">
        <v>0.61850000000000005</v>
      </c>
      <c r="T385" s="49">
        <v>683</v>
      </c>
      <c r="U385" s="49">
        <v>0.72340000000000004</v>
      </c>
      <c r="V385" s="49">
        <v>0</v>
      </c>
      <c r="W385" s="50">
        <v>0</v>
      </c>
      <c r="X385" s="43"/>
      <c r="Y385" s="43"/>
      <c r="Z385" s="43"/>
      <c r="AA385" s="43"/>
      <c r="AB385" s="43"/>
      <c r="AC385" s="43"/>
    </row>
    <row r="386" spans="1:29" x14ac:dyDescent="0.3">
      <c r="A386" s="43"/>
      <c r="B386" s="45" t="s">
        <v>527</v>
      </c>
      <c r="C386" s="48">
        <v>45472</v>
      </c>
      <c r="D386" s="49" t="s">
        <v>161</v>
      </c>
      <c r="E386" s="49" t="s">
        <v>68</v>
      </c>
      <c r="F386" s="49" t="s">
        <v>76</v>
      </c>
      <c r="G386" s="49" t="s">
        <v>141</v>
      </c>
      <c r="H386" s="49" t="s">
        <v>85</v>
      </c>
      <c r="I386" s="49" t="s">
        <v>80</v>
      </c>
      <c r="J386" s="49" t="s">
        <v>81</v>
      </c>
      <c r="K386" s="49">
        <v>8</v>
      </c>
      <c r="L386" s="49">
        <v>300</v>
      </c>
      <c r="M386" s="49">
        <v>0.1</v>
      </c>
      <c r="N386" s="49">
        <v>2400</v>
      </c>
      <c r="O386" s="49">
        <v>2160</v>
      </c>
      <c r="P386" s="49">
        <v>1346.13</v>
      </c>
      <c r="Q386" s="49">
        <v>813.87</v>
      </c>
      <c r="R386" s="49">
        <v>0.37680000000000002</v>
      </c>
      <c r="S386" s="49">
        <v>0.62319999999999998</v>
      </c>
      <c r="T386" s="49">
        <v>1286</v>
      </c>
      <c r="U386" s="49">
        <v>2.2856999999999998</v>
      </c>
      <c r="V386" s="49">
        <v>0</v>
      </c>
      <c r="W386" s="50">
        <v>0</v>
      </c>
      <c r="X386" s="43"/>
      <c r="Y386" s="43"/>
      <c r="Z386" s="43"/>
      <c r="AA386" s="43"/>
      <c r="AB386" s="43"/>
      <c r="AC386" s="43"/>
    </row>
    <row r="387" spans="1:29" x14ac:dyDescent="0.3">
      <c r="A387" s="43"/>
      <c r="B387" s="45" t="s">
        <v>528</v>
      </c>
      <c r="C387" s="48">
        <v>45748</v>
      </c>
      <c r="D387" s="49" t="s">
        <v>143</v>
      </c>
      <c r="E387" s="49" t="s">
        <v>69</v>
      </c>
      <c r="F387" s="49" t="s">
        <v>75</v>
      </c>
      <c r="G387" s="49" t="s">
        <v>147</v>
      </c>
      <c r="H387" s="49" t="s">
        <v>79</v>
      </c>
      <c r="I387" s="49" t="s">
        <v>83</v>
      </c>
      <c r="J387" s="49" t="s">
        <v>81</v>
      </c>
      <c r="K387" s="49">
        <v>1</v>
      </c>
      <c r="L387" s="49">
        <v>150</v>
      </c>
      <c r="M387" s="49">
        <v>0.15</v>
      </c>
      <c r="N387" s="49">
        <v>150</v>
      </c>
      <c r="O387" s="49">
        <v>127.5</v>
      </c>
      <c r="P387" s="49">
        <v>75.05</v>
      </c>
      <c r="Q387" s="49">
        <v>52.45</v>
      </c>
      <c r="R387" s="49">
        <v>0.41139999999999999</v>
      </c>
      <c r="S387" s="49">
        <v>0.58860000000000001</v>
      </c>
      <c r="T387" s="49">
        <v>95</v>
      </c>
      <c r="U387" s="49">
        <v>0.187</v>
      </c>
      <c r="V387" s="49">
        <v>0</v>
      </c>
      <c r="W387" s="50">
        <v>0</v>
      </c>
      <c r="X387" s="43"/>
      <c r="Y387" s="43"/>
      <c r="Z387" s="43"/>
      <c r="AA387" s="43"/>
      <c r="AB387" s="43"/>
      <c r="AC387" s="43"/>
    </row>
    <row r="388" spans="1:29" x14ac:dyDescent="0.3">
      <c r="A388" s="43"/>
      <c r="B388" s="45" t="s">
        <v>529</v>
      </c>
      <c r="C388" s="48">
        <v>45913</v>
      </c>
      <c r="D388" s="49" t="s">
        <v>140</v>
      </c>
      <c r="E388" s="49" t="s">
        <v>71</v>
      </c>
      <c r="F388" s="49" t="s">
        <v>73</v>
      </c>
      <c r="G388" s="49" t="s">
        <v>141</v>
      </c>
      <c r="H388" s="49" t="s">
        <v>85</v>
      </c>
      <c r="I388" s="49" t="s">
        <v>80</v>
      </c>
      <c r="J388" s="49" t="s">
        <v>81</v>
      </c>
      <c r="K388" s="49">
        <v>2</v>
      </c>
      <c r="L388" s="49">
        <v>200</v>
      </c>
      <c r="M388" s="49">
        <v>0.15</v>
      </c>
      <c r="N388" s="49">
        <v>400</v>
      </c>
      <c r="O388" s="49">
        <v>340</v>
      </c>
      <c r="P388" s="49">
        <v>213.89</v>
      </c>
      <c r="Q388" s="49">
        <v>126.11</v>
      </c>
      <c r="R388" s="49">
        <v>0.37090000000000001</v>
      </c>
      <c r="S388" s="49">
        <v>0.62909999999999999</v>
      </c>
      <c r="T388" s="49">
        <v>160</v>
      </c>
      <c r="U388" s="49">
        <v>0.3795</v>
      </c>
      <c r="V388" s="49">
        <v>0</v>
      </c>
      <c r="W388" s="50">
        <v>0</v>
      </c>
      <c r="X388" s="43"/>
      <c r="Y388" s="43"/>
      <c r="Z388" s="43"/>
      <c r="AA388" s="43"/>
      <c r="AB388" s="43"/>
      <c r="AC388" s="43"/>
    </row>
    <row r="389" spans="1:29" x14ac:dyDescent="0.3">
      <c r="A389" s="43"/>
      <c r="B389" s="45" t="s">
        <v>530</v>
      </c>
      <c r="C389" s="48">
        <v>45422</v>
      </c>
      <c r="D389" s="49" t="s">
        <v>161</v>
      </c>
      <c r="E389" s="49" t="s">
        <v>68</v>
      </c>
      <c r="F389" s="49" t="s">
        <v>75</v>
      </c>
      <c r="G389" s="49" t="s">
        <v>144</v>
      </c>
      <c r="H389" s="49" t="s">
        <v>79</v>
      </c>
      <c r="I389" s="49" t="s">
        <v>80</v>
      </c>
      <c r="J389" s="49" t="s">
        <v>81</v>
      </c>
      <c r="K389" s="49">
        <v>1</v>
      </c>
      <c r="L389" s="49">
        <v>150</v>
      </c>
      <c r="M389" s="49">
        <v>0.03</v>
      </c>
      <c r="N389" s="49">
        <v>150</v>
      </c>
      <c r="O389" s="49">
        <v>145.5</v>
      </c>
      <c r="P389" s="49">
        <v>104.32</v>
      </c>
      <c r="Q389" s="49">
        <v>41.18</v>
      </c>
      <c r="R389" s="49">
        <v>0.28299999999999997</v>
      </c>
      <c r="S389" s="49">
        <v>0.71699999999999997</v>
      </c>
      <c r="T389" s="49">
        <v>115</v>
      </c>
      <c r="U389" s="49">
        <v>0.21329999999999999</v>
      </c>
      <c r="V389" s="49">
        <v>0</v>
      </c>
      <c r="W389" s="50">
        <v>0</v>
      </c>
      <c r="X389" s="43"/>
      <c r="Y389" s="43"/>
      <c r="Z389" s="43"/>
      <c r="AA389" s="43"/>
      <c r="AB389" s="43"/>
      <c r="AC389" s="43"/>
    </row>
    <row r="390" spans="1:29" x14ac:dyDescent="0.3">
      <c r="A390" s="43"/>
      <c r="B390" s="45" t="s">
        <v>531</v>
      </c>
      <c r="C390" s="48">
        <v>45646</v>
      </c>
      <c r="D390" s="49" t="s">
        <v>149</v>
      </c>
      <c r="E390" s="49" t="s">
        <v>70</v>
      </c>
      <c r="F390" s="49" t="s">
        <v>76</v>
      </c>
      <c r="G390" s="49" t="s">
        <v>183</v>
      </c>
      <c r="H390" s="49" t="s">
        <v>85</v>
      </c>
      <c r="I390" s="49" t="s">
        <v>80</v>
      </c>
      <c r="J390" s="49" t="s">
        <v>81</v>
      </c>
      <c r="K390" s="49">
        <v>7</v>
      </c>
      <c r="L390" s="49">
        <v>150</v>
      </c>
      <c r="M390" s="49">
        <v>0</v>
      </c>
      <c r="N390" s="49">
        <v>1050</v>
      </c>
      <c r="O390" s="49">
        <v>1050</v>
      </c>
      <c r="P390" s="49">
        <v>814.78</v>
      </c>
      <c r="Q390" s="49">
        <v>235.22</v>
      </c>
      <c r="R390" s="49">
        <v>0.224</v>
      </c>
      <c r="S390" s="49">
        <v>0.77600000000000002</v>
      </c>
      <c r="T390" s="49">
        <v>825</v>
      </c>
      <c r="U390" s="49">
        <v>0.97219999999999995</v>
      </c>
      <c r="V390" s="49">
        <v>0</v>
      </c>
      <c r="W390" s="50">
        <v>0</v>
      </c>
      <c r="X390" s="43"/>
      <c r="Y390" s="43"/>
      <c r="Z390" s="43"/>
      <c r="AA390" s="43"/>
      <c r="AB390" s="43"/>
      <c r="AC390" s="43"/>
    </row>
    <row r="391" spans="1:29" x14ac:dyDescent="0.3">
      <c r="A391" s="43"/>
      <c r="B391" s="45" t="s">
        <v>532</v>
      </c>
      <c r="C391" s="48">
        <v>45780</v>
      </c>
      <c r="D391" s="49" t="s">
        <v>140</v>
      </c>
      <c r="E391" s="49" t="s">
        <v>71</v>
      </c>
      <c r="F391" s="49" t="s">
        <v>76</v>
      </c>
      <c r="G391" s="49" t="s">
        <v>144</v>
      </c>
      <c r="H391" s="49" t="s">
        <v>84</v>
      </c>
      <c r="I391" s="49" t="s">
        <v>80</v>
      </c>
      <c r="J391" s="49" t="s">
        <v>81</v>
      </c>
      <c r="K391" s="49">
        <v>1</v>
      </c>
      <c r="L391" s="49">
        <v>60</v>
      </c>
      <c r="M391" s="49">
        <v>0</v>
      </c>
      <c r="N391" s="49">
        <v>60</v>
      </c>
      <c r="O391" s="49">
        <v>60</v>
      </c>
      <c r="P391" s="49">
        <v>43.08</v>
      </c>
      <c r="Q391" s="49">
        <v>16.920000000000002</v>
      </c>
      <c r="R391" s="49">
        <v>0.28199999999999997</v>
      </c>
      <c r="S391" s="49">
        <v>0.71799999999999997</v>
      </c>
      <c r="T391" s="49">
        <v>47</v>
      </c>
      <c r="U391" s="49">
        <v>6.3500000000000001E-2</v>
      </c>
      <c r="V391" s="49">
        <v>0</v>
      </c>
      <c r="W391" s="50">
        <v>0</v>
      </c>
      <c r="X391" s="43"/>
      <c r="Y391" s="43"/>
      <c r="Z391" s="43"/>
      <c r="AA391" s="43"/>
      <c r="AB391" s="43"/>
      <c r="AC391" s="43"/>
    </row>
    <row r="392" spans="1:29" x14ac:dyDescent="0.3">
      <c r="A392" s="43"/>
      <c r="B392" s="45" t="s">
        <v>533</v>
      </c>
      <c r="C392" s="48">
        <v>45758</v>
      </c>
      <c r="D392" s="49" t="s">
        <v>140</v>
      </c>
      <c r="E392" s="49" t="s">
        <v>71</v>
      </c>
      <c r="F392" s="49" t="s">
        <v>72</v>
      </c>
      <c r="G392" s="49" t="s">
        <v>141</v>
      </c>
      <c r="H392" s="49" t="s">
        <v>84</v>
      </c>
      <c r="I392" s="49" t="s">
        <v>80</v>
      </c>
      <c r="J392" s="49" t="s">
        <v>81</v>
      </c>
      <c r="K392" s="49">
        <v>6</v>
      </c>
      <c r="L392" s="49">
        <v>80</v>
      </c>
      <c r="M392" s="49">
        <v>0.03</v>
      </c>
      <c r="N392" s="49">
        <v>480</v>
      </c>
      <c r="O392" s="49">
        <v>465.6</v>
      </c>
      <c r="P392" s="49">
        <v>294.54000000000002</v>
      </c>
      <c r="Q392" s="49">
        <v>171.06</v>
      </c>
      <c r="R392" s="49">
        <v>0.3674</v>
      </c>
      <c r="S392" s="49">
        <v>0.63260000000000005</v>
      </c>
      <c r="T392" s="49">
        <v>579</v>
      </c>
      <c r="U392" s="49">
        <v>0.73899999999999999</v>
      </c>
      <c r="V392" s="49">
        <v>1</v>
      </c>
      <c r="W392" s="50">
        <v>0.16669999999999999</v>
      </c>
      <c r="X392" s="43"/>
      <c r="Y392" s="43"/>
      <c r="Z392" s="43"/>
      <c r="AA392" s="43"/>
      <c r="AB392" s="43"/>
      <c r="AC392" s="43"/>
    </row>
    <row r="393" spans="1:29" x14ac:dyDescent="0.3">
      <c r="A393" s="43"/>
      <c r="B393" s="45" t="s">
        <v>534</v>
      </c>
      <c r="C393" s="48">
        <v>45498</v>
      </c>
      <c r="D393" s="49" t="s">
        <v>161</v>
      </c>
      <c r="E393" s="49" t="s">
        <v>68</v>
      </c>
      <c r="F393" s="49" t="s">
        <v>74</v>
      </c>
      <c r="G393" s="49" t="s">
        <v>147</v>
      </c>
      <c r="H393" s="49" t="s">
        <v>82</v>
      </c>
      <c r="I393" s="49" t="s">
        <v>83</v>
      </c>
      <c r="J393" s="49" t="s">
        <v>81</v>
      </c>
      <c r="K393" s="49">
        <v>6</v>
      </c>
      <c r="L393" s="49">
        <v>150</v>
      </c>
      <c r="M393" s="49">
        <v>0</v>
      </c>
      <c r="N393" s="49">
        <v>900</v>
      </c>
      <c r="O393" s="49">
        <v>900</v>
      </c>
      <c r="P393" s="49">
        <v>569.19000000000005</v>
      </c>
      <c r="Q393" s="49">
        <v>330.81</v>
      </c>
      <c r="R393" s="49">
        <v>0.36759999999999998</v>
      </c>
      <c r="S393" s="49">
        <v>0.63239999999999996</v>
      </c>
      <c r="T393" s="49">
        <v>1090</v>
      </c>
      <c r="U393" s="49">
        <v>1.0713999999999999</v>
      </c>
      <c r="V393" s="49">
        <v>0</v>
      </c>
      <c r="W393" s="50">
        <v>0</v>
      </c>
      <c r="X393" s="43"/>
      <c r="Y393" s="43"/>
      <c r="Z393" s="43"/>
      <c r="AA393" s="43"/>
      <c r="AB393" s="43"/>
      <c r="AC393" s="43"/>
    </row>
    <row r="394" spans="1:29" x14ac:dyDescent="0.3">
      <c r="A394" s="43"/>
      <c r="B394" s="45" t="s">
        <v>535</v>
      </c>
      <c r="C394" s="48">
        <v>45812</v>
      </c>
      <c r="D394" s="49" t="s">
        <v>137</v>
      </c>
      <c r="E394" s="49" t="s">
        <v>71</v>
      </c>
      <c r="F394" s="49" t="s">
        <v>73</v>
      </c>
      <c r="G394" s="49" t="s">
        <v>153</v>
      </c>
      <c r="H394" s="49" t="s">
        <v>79</v>
      </c>
      <c r="I394" s="49" t="s">
        <v>83</v>
      </c>
      <c r="J394" s="49" t="s">
        <v>81</v>
      </c>
      <c r="K394" s="49">
        <v>4</v>
      </c>
      <c r="L394" s="49">
        <v>25</v>
      </c>
      <c r="M394" s="49">
        <v>0.1</v>
      </c>
      <c r="N394" s="49">
        <v>100</v>
      </c>
      <c r="O394" s="49">
        <v>90</v>
      </c>
      <c r="P394" s="49">
        <v>52.33</v>
      </c>
      <c r="Q394" s="49">
        <v>37.67</v>
      </c>
      <c r="R394" s="49">
        <v>0.41860000000000003</v>
      </c>
      <c r="S394" s="49">
        <v>0.58140000000000003</v>
      </c>
      <c r="T394" s="49">
        <v>79</v>
      </c>
      <c r="U394" s="49">
        <v>0.1071</v>
      </c>
      <c r="V394" s="49">
        <v>0</v>
      </c>
      <c r="W394" s="50">
        <v>0</v>
      </c>
      <c r="X394" s="43"/>
      <c r="Y394" s="43"/>
      <c r="Z394" s="43"/>
      <c r="AA394" s="43"/>
      <c r="AB394" s="43"/>
      <c r="AC394" s="43"/>
    </row>
    <row r="395" spans="1:29" x14ac:dyDescent="0.3">
      <c r="A395" s="43"/>
      <c r="B395" s="45" t="s">
        <v>536</v>
      </c>
      <c r="C395" s="48">
        <v>45293</v>
      </c>
      <c r="D395" s="49" t="s">
        <v>143</v>
      </c>
      <c r="E395" s="49" t="s">
        <v>69</v>
      </c>
      <c r="F395" s="49" t="s">
        <v>75</v>
      </c>
      <c r="G395" s="49" t="s">
        <v>138</v>
      </c>
      <c r="H395" s="49" t="s">
        <v>82</v>
      </c>
      <c r="I395" s="49" t="s">
        <v>80</v>
      </c>
      <c r="J395" s="49" t="s">
        <v>81</v>
      </c>
      <c r="K395" s="49">
        <v>5</v>
      </c>
      <c r="L395" s="49">
        <v>150</v>
      </c>
      <c r="M395" s="49">
        <v>0.1</v>
      </c>
      <c r="N395" s="49">
        <v>750</v>
      </c>
      <c r="O395" s="49">
        <v>675</v>
      </c>
      <c r="P395" s="49">
        <v>341.67</v>
      </c>
      <c r="Q395" s="49">
        <v>333.33</v>
      </c>
      <c r="R395" s="49">
        <v>0.49380000000000002</v>
      </c>
      <c r="S395" s="49">
        <v>0.50619999999999998</v>
      </c>
      <c r="T395" s="49">
        <v>498</v>
      </c>
      <c r="U395" s="49">
        <v>1.0385</v>
      </c>
      <c r="V395" s="49">
        <v>0</v>
      </c>
      <c r="W395" s="50">
        <v>0</v>
      </c>
      <c r="X395" s="43"/>
      <c r="Y395" s="43"/>
      <c r="Z395" s="43"/>
      <c r="AA395" s="43"/>
      <c r="AB395" s="43"/>
      <c r="AC395" s="43"/>
    </row>
    <row r="396" spans="1:29" x14ac:dyDescent="0.3">
      <c r="A396" s="43"/>
      <c r="B396" s="45" t="s">
        <v>537</v>
      </c>
      <c r="C396" s="48">
        <v>45589</v>
      </c>
      <c r="D396" s="49" t="s">
        <v>137</v>
      </c>
      <c r="E396" s="49" t="s">
        <v>71</v>
      </c>
      <c r="F396" s="49" t="s">
        <v>74</v>
      </c>
      <c r="G396" s="49" t="s">
        <v>138</v>
      </c>
      <c r="H396" s="49" t="s">
        <v>79</v>
      </c>
      <c r="I396" s="49" t="s">
        <v>83</v>
      </c>
      <c r="J396" s="49" t="s">
        <v>81</v>
      </c>
      <c r="K396" s="49">
        <v>4</v>
      </c>
      <c r="L396" s="49">
        <v>500</v>
      </c>
      <c r="M396" s="49">
        <v>0.03</v>
      </c>
      <c r="N396" s="49">
        <v>2000</v>
      </c>
      <c r="O396" s="49">
        <v>1940</v>
      </c>
      <c r="P396" s="49">
        <v>1404.72</v>
      </c>
      <c r="Q396" s="49">
        <v>535.28</v>
      </c>
      <c r="R396" s="49">
        <v>0.27589999999999998</v>
      </c>
      <c r="S396" s="49">
        <v>0.72409999999999997</v>
      </c>
      <c r="T396" s="49">
        <v>2068</v>
      </c>
      <c r="U396" s="49">
        <v>2.1556000000000002</v>
      </c>
      <c r="V396" s="49">
        <v>0</v>
      </c>
      <c r="W396" s="50">
        <v>0</v>
      </c>
      <c r="X396" s="43"/>
      <c r="Y396" s="43"/>
      <c r="Z396" s="43"/>
      <c r="AA396" s="43"/>
      <c r="AB396" s="43"/>
      <c r="AC396" s="43"/>
    </row>
    <row r="397" spans="1:29" x14ac:dyDescent="0.3">
      <c r="A397" s="43"/>
      <c r="B397" s="45" t="s">
        <v>538</v>
      </c>
      <c r="C397" s="48">
        <v>45753</v>
      </c>
      <c r="D397" s="49" t="s">
        <v>137</v>
      </c>
      <c r="E397" s="49" t="s">
        <v>71</v>
      </c>
      <c r="F397" s="49" t="s">
        <v>76</v>
      </c>
      <c r="G397" s="49" t="s">
        <v>144</v>
      </c>
      <c r="H397" s="49" t="s">
        <v>85</v>
      </c>
      <c r="I397" s="49" t="s">
        <v>80</v>
      </c>
      <c r="J397" s="49" t="s">
        <v>86</v>
      </c>
      <c r="K397" s="49">
        <v>5</v>
      </c>
      <c r="L397" s="49">
        <v>200</v>
      </c>
      <c r="M397" s="49">
        <v>0</v>
      </c>
      <c r="N397" s="49">
        <v>1000</v>
      </c>
      <c r="O397" s="49">
        <v>1000</v>
      </c>
      <c r="P397" s="49">
        <v>505.63</v>
      </c>
      <c r="Q397" s="49">
        <v>494.37</v>
      </c>
      <c r="R397" s="49">
        <v>0.49440000000000001</v>
      </c>
      <c r="S397" s="49">
        <v>0.50560000000000005</v>
      </c>
      <c r="T397" s="49">
        <v>2332</v>
      </c>
      <c r="U397" s="49">
        <v>1.0582</v>
      </c>
      <c r="V397" s="49">
        <v>0</v>
      </c>
      <c r="W397" s="50">
        <v>0</v>
      </c>
      <c r="X397" s="43"/>
      <c r="Y397" s="43"/>
      <c r="Z397" s="43"/>
      <c r="AA397" s="43"/>
      <c r="AB397" s="43"/>
      <c r="AC397" s="43"/>
    </row>
    <row r="398" spans="1:29" x14ac:dyDescent="0.3">
      <c r="A398" s="43"/>
      <c r="B398" s="45" t="s">
        <v>539</v>
      </c>
      <c r="C398" s="48">
        <v>45790</v>
      </c>
      <c r="D398" s="49" t="s">
        <v>140</v>
      </c>
      <c r="E398" s="49" t="s">
        <v>71</v>
      </c>
      <c r="F398" s="49" t="s">
        <v>72</v>
      </c>
      <c r="G398" s="49" t="s">
        <v>147</v>
      </c>
      <c r="H398" s="49" t="s">
        <v>85</v>
      </c>
      <c r="I398" s="49" t="s">
        <v>80</v>
      </c>
      <c r="J398" s="49" t="s">
        <v>86</v>
      </c>
      <c r="K398" s="49">
        <v>6</v>
      </c>
      <c r="L398" s="49">
        <v>80</v>
      </c>
      <c r="M398" s="49">
        <v>0.03</v>
      </c>
      <c r="N398" s="49">
        <v>480</v>
      </c>
      <c r="O398" s="49">
        <v>465.6</v>
      </c>
      <c r="P398" s="49">
        <v>310.08999999999997</v>
      </c>
      <c r="Q398" s="49">
        <v>155.51</v>
      </c>
      <c r="R398" s="49">
        <v>0.33400000000000002</v>
      </c>
      <c r="S398" s="49">
        <v>0.66600000000000004</v>
      </c>
      <c r="T398" s="49">
        <v>478</v>
      </c>
      <c r="U398" s="49">
        <v>0.73899999999999999</v>
      </c>
      <c r="V398" s="49">
        <v>0</v>
      </c>
      <c r="W398" s="50">
        <v>0</v>
      </c>
      <c r="X398" s="43"/>
      <c r="Y398" s="43"/>
      <c r="Z398" s="43"/>
      <c r="AA398" s="43"/>
      <c r="AB398" s="43"/>
      <c r="AC398" s="43"/>
    </row>
    <row r="399" spans="1:29" x14ac:dyDescent="0.3">
      <c r="A399" s="43"/>
      <c r="B399" s="45" t="s">
        <v>540</v>
      </c>
      <c r="C399" s="48">
        <v>45501</v>
      </c>
      <c r="D399" s="49" t="s">
        <v>140</v>
      </c>
      <c r="E399" s="49" t="s">
        <v>71</v>
      </c>
      <c r="F399" s="49" t="s">
        <v>72</v>
      </c>
      <c r="G399" s="49" t="s">
        <v>153</v>
      </c>
      <c r="H399" s="49" t="s">
        <v>85</v>
      </c>
      <c r="I399" s="49" t="s">
        <v>83</v>
      </c>
      <c r="J399" s="49" t="s">
        <v>81</v>
      </c>
      <c r="K399" s="49">
        <v>7</v>
      </c>
      <c r="L399" s="49">
        <v>60</v>
      </c>
      <c r="M399" s="49">
        <v>0.05</v>
      </c>
      <c r="N399" s="49">
        <v>420</v>
      </c>
      <c r="O399" s="49">
        <v>399</v>
      </c>
      <c r="P399" s="49">
        <v>213.43</v>
      </c>
      <c r="Q399" s="49">
        <v>185.57</v>
      </c>
      <c r="R399" s="49">
        <v>0.46510000000000001</v>
      </c>
      <c r="S399" s="49">
        <v>0.53490000000000004</v>
      </c>
      <c r="T399" s="49">
        <v>431</v>
      </c>
      <c r="U399" s="49">
        <v>0.59379999999999999</v>
      </c>
      <c r="V399" s="49">
        <v>0</v>
      </c>
      <c r="W399" s="50">
        <v>0</v>
      </c>
      <c r="X399" s="43"/>
      <c r="Y399" s="43"/>
      <c r="Z399" s="43"/>
      <c r="AA399" s="43"/>
      <c r="AB399" s="43"/>
      <c r="AC399" s="43"/>
    </row>
    <row r="400" spans="1:29" x14ac:dyDescent="0.3">
      <c r="A400" s="43"/>
      <c r="B400" s="45" t="s">
        <v>541</v>
      </c>
      <c r="C400" s="48">
        <v>45916</v>
      </c>
      <c r="D400" s="49" t="s">
        <v>149</v>
      </c>
      <c r="E400" s="49" t="s">
        <v>70</v>
      </c>
      <c r="F400" s="49" t="s">
        <v>75</v>
      </c>
      <c r="G400" s="49" t="s">
        <v>138</v>
      </c>
      <c r="H400" s="49" t="s">
        <v>79</v>
      </c>
      <c r="I400" s="49" t="s">
        <v>83</v>
      </c>
      <c r="J400" s="49" t="s">
        <v>81</v>
      </c>
      <c r="K400" s="49">
        <v>1</v>
      </c>
      <c r="L400" s="49">
        <v>80</v>
      </c>
      <c r="M400" s="49">
        <v>0.03</v>
      </c>
      <c r="N400" s="49">
        <v>80</v>
      </c>
      <c r="O400" s="49">
        <v>77.599999999999994</v>
      </c>
      <c r="P400" s="49">
        <v>39.06</v>
      </c>
      <c r="Q400" s="49">
        <v>38.54</v>
      </c>
      <c r="R400" s="49">
        <v>0.49659999999999999</v>
      </c>
      <c r="S400" s="49">
        <v>0.50339999999999996</v>
      </c>
      <c r="T400" s="49">
        <v>105</v>
      </c>
      <c r="U400" s="49">
        <v>0.1066</v>
      </c>
      <c r="V400" s="49">
        <v>0</v>
      </c>
      <c r="W400" s="50">
        <v>0</v>
      </c>
      <c r="X400" s="43"/>
      <c r="Y400" s="43"/>
      <c r="Z400" s="43"/>
      <c r="AA400" s="43"/>
      <c r="AB400" s="43"/>
      <c r="AC400" s="43"/>
    </row>
    <row r="401" spans="1:29" x14ac:dyDescent="0.3">
      <c r="A401" s="43"/>
      <c r="B401" s="45" t="s">
        <v>542</v>
      </c>
      <c r="C401" s="48">
        <v>45671</v>
      </c>
      <c r="D401" s="49" t="s">
        <v>151</v>
      </c>
      <c r="E401" s="49" t="s">
        <v>70</v>
      </c>
      <c r="F401" s="49" t="s">
        <v>76</v>
      </c>
      <c r="G401" s="49" t="s">
        <v>147</v>
      </c>
      <c r="H401" s="49" t="s">
        <v>85</v>
      </c>
      <c r="I401" s="49" t="s">
        <v>83</v>
      </c>
      <c r="J401" s="49" t="s">
        <v>81</v>
      </c>
      <c r="K401" s="49">
        <v>2</v>
      </c>
      <c r="L401" s="49">
        <v>80</v>
      </c>
      <c r="M401" s="49">
        <v>0</v>
      </c>
      <c r="N401" s="49">
        <v>160</v>
      </c>
      <c r="O401" s="49">
        <v>160</v>
      </c>
      <c r="P401" s="49">
        <v>95.49</v>
      </c>
      <c r="Q401" s="49">
        <v>64.510000000000005</v>
      </c>
      <c r="R401" s="49">
        <v>0.4032</v>
      </c>
      <c r="S401" s="49">
        <v>0.5968</v>
      </c>
      <c r="T401" s="49">
        <v>167</v>
      </c>
      <c r="U401" s="49">
        <v>0.17780000000000001</v>
      </c>
      <c r="V401" s="49">
        <v>0</v>
      </c>
      <c r="W401" s="50">
        <v>0</v>
      </c>
      <c r="X401" s="43"/>
      <c r="Y401" s="43"/>
      <c r="Z401" s="43"/>
      <c r="AA401" s="43"/>
      <c r="AB401" s="43"/>
      <c r="AC401" s="43"/>
    </row>
    <row r="402" spans="1:29" x14ac:dyDescent="0.3">
      <c r="A402" s="43"/>
      <c r="B402" s="45" t="s">
        <v>543</v>
      </c>
      <c r="C402" s="48">
        <v>45335</v>
      </c>
      <c r="D402" s="49" t="s">
        <v>149</v>
      </c>
      <c r="E402" s="49" t="s">
        <v>70</v>
      </c>
      <c r="F402" s="49" t="s">
        <v>76</v>
      </c>
      <c r="G402" s="49" t="s">
        <v>141</v>
      </c>
      <c r="H402" s="49" t="s">
        <v>85</v>
      </c>
      <c r="I402" s="49" t="s">
        <v>83</v>
      </c>
      <c r="J402" s="49" t="s">
        <v>86</v>
      </c>
      <c r="K402" s="49">
        <v>7</v>
      </c>
      <c r="L402" s="49">
        <v>200</v>
      </c>
      <c r="M402" s="49">
        <v>0.1</v>
      </c>
      <c r="N402" s="49">
        <v>1400</v>
      </c>
      <c r="O402" s="49">
        <v>1260</v>
      </c>
      <c r="P402" s="49">
        <v>811.93</v>
      </c>
      <c r="Q402" s="49">
        <v>448.07</v>
      </c>
      <c r="R402" s="49">
        <v>0.35560000000000003</v>
      </c>
      <c r="S402" s="49">
        <v>0.64439999999999997</v>
      </c>
      <c r="T402" s="49">
        <v>1482</v>
      </c>
      <c r="U402" s="49">
        <v>1.4</v>
      </c>
      <c r="V402" s="49">
        <v>0</v>
      </c>
      <c r="W402" s="50">
        <v>0</v>
      </c>
      <c r="X402" s="43"/>
      <c r="Y402" s="43"/>
      <c r="Z402" s="43"/>
      <c r="AA402" s="43"/>
      <c r="AB402" s="43"/>
      <c r="AC402" s="43"/>
    </row>
    <row r="403" spans="1:29" x14ac:dyDescent="0.3">
      <c r="A403" s="43"/>
      <c r="B403" s="45" t="s">
        <v>544</v>
      </c>
      <c r="C403" s="48">
        <v>45969</v>
      </c>
      <c r="D403" s="49" t="s">
        <v>161</v>
      </c>
      <c r="E403" s="49" t="s">
        <v>68</v>
      </c>
      <c r="F403" s="49" t="s">
        <v>75</v>
      </c>
      <c r="G403" s="49" t="s">
        <v>183</v>
      </c>
      <c r="H403" s="49" t="s">
        <v>84</v>
      </c>
      <c r="I403" s="49" t="s">
        <v>83</v>
      </c>
      <c r="J403" s="49" t="s">
        <v>81</v>
      </c>
      <c r="K403" s="49">
        <v>5</v>
      </c>
      <c r="L403" s="49">
        <v>300</v>
      </c>
      <c r="M403" s="49">
        <v>0.03</v>
      </c>
      <c r="N403" s="49">
        <v>1500</v>
      </c>
      <c r="O403" s="49">
        <v>1455</v>
      </c>
      <c r="P403" s="49">
        <v>990.42</v>
      </c>
      <c r="Q403" s="49">
        <v>464.58</v>
      </c>
      <c r="R403" s="49">
        <v>0.31929999999999997</v>
      </c>
      <c r="S403" s="49">
        <v>0.68069999999999997</v>
      </c>
      <c r="T403" s="49">
        <v>1552</v>
      </c>
      <c r="U403" s="49">
        <v>1.8653999999999999</v>
      </c>
      <c r="V403" s="49">
        <v>0</v>
      </c>
      <c r="W403" s="50">
        <v>0</v>
      </c>
      <c r="X403" s="43"/>
      <c r="Y403" s="43"/>
      <c r="Z403" s="43"/>
      <c r="AA403" s="43"/>
      <c r="AB403" s="43"/>
      <c r="AC403" s="43"/>
    </row>
    <row r="404" spans="1:29" x14ac:dyDescent="0.3">
      <c r="A404" s="43"/>
      <c r="B404" s="45" t="s">
        <v>545</v>
      </c>
      <c r="C404" s="48">
        <v>45491</v>
      </c>
      <c r="D404" s="49" t="s">
        <v>137</v>
      </c>
      <c r="E404" s="49" t="s">
        <v>71</v>
      </c>
      <c r="F404" s="49" t="s">
        <v>72</v>
      </c>
      <c r="G404" s="49" t="s">
        <v>153</v>
      </c>
      <c r="H404" s="49" t="s">
        <v>82</v>
      </c>
      <c r="I404" s="49" t="s">
        <v>83</v>
      </c>
      <c r="J404" s="49" t="s">
        <v>81</v>
      </c>
      <c r="K404" s="49">
        <v>6</v>
      </c>
      <c r="L404" s="49">
        <v>60</v>
      </c>
      <c r="M404" s="49">
        <v>0.05</v>
      </c>
      <c r="N404" s="49">
        <v>360</v>
      </c>
      <c r="O404" s="49">
        <v>342</v>
      </c>
      <c r="P404" s="49">
        <v>182.27</v>
      </c>
      <c r="Q404" s="49">
        <v>159.72999999999999</v>
      </c>
      <c r="R404" s="49">
        <v>0.46700000000000003</v>
      </c>
      <c r="S404" s="49">
        <v>0.53300000000000003</v>
      </c>
      <c r="T404" s="49">
        <v>365</v>
      </c>
      <c r="U404" s="49">
        <v>0.50890000000000002</v>
      </c>
      <c r="V404" s="49">
        <v>0</v>
      </c>
      <c r="W404" s="50">
        <v>0</v>
      </c>
      <c r="X404" s="43"/>
      <c r="Y404" s="43"/>
      <c r="Z404" s="43"/>
      <c r="AA404" s="43"/>
      <c r="AB404" s="43"/>
      <c r="AC404" s="43"/>
    </row>
    <row r="405" spans="1:29" x14ac:dyDescent="0.3">
      <c r="A405" s="43"/>
      <c r="B405" s="45" t="s">
        <v>546</v>
      </c>
      <c r="C405" s="48">
        <v>45508</v>
      </c>
      <c r="D405" s="49" t="s">
        <v>149</v>
      </c>
      <c r="E405" s="49" t="s">
        <v>70</v>
      </c>
      <c r="F405" s="49" t="s">
        <v>74</v>
      </c>
      <c r="G405" s="49" t="s">
        <v>147</v>
      </c>
      <c r="H405" s="49" t="s">
        <v>84</v>
      </c>
      <c r="I405" s="49" t="s">
        <v>80</v>
      </c>
      <c r="J405" s="49" t="s">
        <v>81</v>
      </c>
      <c r="K405" s="49">
        <v>3</v>
      </c>
      <c r="L405" s="49">
        <v>80</v>
      </c>
      <c r="M405" s="49">
        <v>0</v>
      </c>
      <c r="N405" s="49">
        <v>240</v>
      </c>
      <c r="O405" s="49">
        <v>240</v>
      </c>
      <c r="P405" s="49">
        <v>173.57</v>
      </c>
      <c r="Q405" s="49">
        <v>66.430000000000007</v>
      </c>
      <c r="R405" s="49">
        <v>0.27679999999999999</v>
      </c>
      <c r="S405" s="49">
        <v>0.72319999999999995</v>
      </c>
      <c r="T405" s="49">
        <v>179</v>
      </c>
      <c r="U405" s="49">
        <v>0.28570000000000001</v>
      </c>
      <c r="V405" s="49">
        <v>0</v>
      </c>
      <c r="W405" s="50">
        <v>0</v>
      </c>
      <c r="X405" s="43"/>
      <c r="Y405" s="43"/>
      <c r="Z405" s="43"/>
      <c r="AA405" s="43"/>
      <c r="AB405" s="43"/>
      <c r="AC405" s="43"/>
    </row>
    <row r="406" spans="1:29" x14ac:dyDescent="0.3">
      <c r="A406" s="43"/>
      <c r="B406" s="45" t="s">
        <v>547</v>
      </c>
      <c r="C406" s="48">
        <v>45337</v>
      </c>
      <c r="D406" s="49" t="s">
        <v>149</v>
      </c>
      <c r="E406" s="49" t="s">
        <v>70</v>
      </c>
      <c r="F406" s="49" t="s">
        <v>74</v>
      </c>
      <c r="G406" s="49" t="s">
        <v>147</v>
      </c>
      <c r="H406" s="49" t="s">
        <v>79</v>
      </c>
      <c r="I406" s="49" t="s">
        <v>80</v>
      </c>
      <c r="J406" s="49" t="s">
        <v>86</v>
      </c>
      <c r="K406" s="49">
        <v>3</v>
      </c>
      <c r="L406" s="49">
        <v>80</v>
      </c>
      <c r="M406" s="49">
        <v>0</v>
      </c>
      <c r="N406" s="49">
        <v>240</v>
      </c>
      <c r="O406" s="49">
        <v>240</v>
      </c>
      <c r="P406" s="49">
        <v>137.84</v>
      </c>
      <c r="Q406" s="49">
        <v>102.16</v>
      </c>
      <c r="R406" s="49">
        <v>0.42570000000000002</v>
      </c>
      <c r="S406" s="49">
        <v>0.57430000000000003</v>
      </c>
      <c r="T406" s="49">
        <v>258</v>
      </c>
      <c r="U406" s="49">
        <v>0.32</v>
      </c>
      <c r="V406" s="49">
        <v>0</v>
      </c>
      <c r="W406" s="50">
        <v>0</v>
      </c>
      <c r="X406" s="43"/>
      <c r="Y406" s="43"/>
      <c r="Z406" s="43"/>
      <c r="AA406" s="43"/>
      <c r="AB406" s="43"/>
      <c r="AC406" s="43"/>
    </row>
    <row r="407" spans="1:29" x14ac:dyDescent="0.3">
      <c r="A407" s="43"/>
      <c r="B407" s="45" t="s">
        <v>548</v>
      </c>
      <c r="C407" s="48">
        <v>45515</v>
      </c>
      <c r="D407" s="49" t="s">
        <v>149</v>
      </c>
      <c r="E407" s="49" t="s">
        <v>70</v>
      </c>
      <c r="F407" s="49" t="s">
        <v>75</v>
      </c>
      <c r="G407" s="49" t="s">
        <v>147</v>
      </c>
      <c r="H407" s="49" t="s">
        <v>79</v>
      </c>
      <c r="I407" s="49" t="s">
        <v>83</v>
      </c>
      <c r="J407" s="49" t="s">
        <v>81</v>
      </c>
      <c r="K407" s="49">
        <v>3</v>
      </c>
      <c r="L407" s="49">
        <v>60</v>
      </c>
      <c r="M407" s="49">
        <v>0.03</v>
      </c>
      <c r="N407" s="49">
        <v>180</v>
      </c>
      <c r="O407" s="49">
        <v>174.6</v>
      </c>
      <c r="P407" s="49">
        <v>119.73</v>
      </c>
      <c r="Q407" s="49">
        <v>54.87</v>
      </c>
      <c r="R407" s="49">
        <v>0.31430000000000002</v>
      </c>
      <c r="S407" s="49">
        <v>0.68569999999999998</v>
      </c>
      <c r="T407" s="49">
        <v>188</v>
      </c>
      <c r="U407" s="49">
        <v>0.23980000000000001</v>
      </c>
      <c r="V407" s="49">
        <v>1</v>
      </c>
      <c r="W407" s="50">
        <v>0.33329999999999999</v>
      </c>
      <c r="X407" s="43"/>
      <c r="Y407" s="43"/>
      <c r="Z407" s="43"/>
      <c r="AA407" s="43"/>
      <c r="AB407" s="43"/>
      <c r="AC407" s="43"/>
    </row>
    <row r="408" spans="1:29" x14ac:dyDescent="0.3">
      <c r="A408" s="43"/>
      <c r="B408" s="45" t="s">
        <v>549</v>
      </c>
      <c r="C408" s="48">
        <v>45317</v>
      </c>
      <c r="D408" s="49" t="s">
        <v>143</v>
      </c>
      <c r="E408" s="49" t="s">
        <v>69</v>
      </c>
      <c r="F408" s="49" t="s">
        <v>75</v>
      </c>
      <c r="G408" s="49" t="s">
        <v>144</v>
      </c>
      <c r="H408" s="49" t="s">
        <v>82</v>
      </c>
      <c r="I408" s="49" t="s">
        <v>80</v>
      </c>
      <c r="J408" s="49" t="s">
        <v>81</v>
      </c>
      <c r="K408" s="49">
        <v>3</v>
      </c>
      <c r="L408" s="49">
        <v>150</v>
      </c>
      <c r="M408" s="49">
        <v>0</v>
      </c>
      <c r="N408" s="49">
        <v>450</v>
      </c>
      <c r="O408" s="49">
        <v>450</v>
      </c>
      <c r="P408" s="49">
        <v>270.73</v>
      </c>
      <c r="Q408" s="49">
        <v>179.27</v>
      </c>
      <c r="R408" s="49">
        <v>0.39839999999999998</v>
      </c>
      <c r="S408" s="49">
        <v>0.60160000000000002</v>
      </c>
      <c r="T408" s="49">
        <v>358</v>
      </c>
      <c r="U408" s="49">
        <v>0.69230000000000003</v>
      </c>
      <c r="V408" s="49">
        <v>0</v>
      </c>
      <c r="W408" s="50">
        <v>0</v>
      </c>
      <c r="X408" s="43"/>
      <c r="Y408" s="43"/>
      <c r="Z408" s="43"/>
      <c r="AA408" s="43"/>
      <c r="AB408" s="43"/>
      <c r="AC408" s="43"/>
    </row>
    <row r="409" spans="1:29" x14ac:dyDescent="0.3">
      <c r="A409" s="43"/>
      <c r="B409" s="45" t="s">
        <v>550</v>
      </c>
      <c r="C409" s="48">
        <v>45864</v>
      </c>
      <c r="D409" s="49" t="s">
        <v>140</v>
      </c>
      <c r="E409" s="49" t="s">
        <v>71</v>
      </c>
      <c r="F409" s="49" t="s">
        <v>75</v>
      </c>
      <c r="G409" s="49" t="s">
        <v>147</v>
      </c>
      <c r="H409" s="49" t="s">
        <v>84</v>
      </c>
      <c r="I409" s="49" t="s">
        <v>83</v>
      </c>
      <c r="J409" s="49" t="s">
        <v>81</v>
      </c>
      <c r="K409" s="49">
        <v>6</v>
      </c>
      <c r="L409" s="49">
        <v>150</v>
      </c>
      <c r="M409" s="49">
        <v>0.03</v>
      </c>
      <c r="N409" s="49">
        <v>900</v>
      </c>
      <c r="O409" s="49">
        <v>873</v>
      </c>
      <c r="P409" s="49">
        <v>475.4</v>
      </c>
      <c r="Q409" s="49">
        <v>397.6</v>
      </c>
      <c r="R409" s="49">
        <v>0.45540000000000003</v>
      </c>
      <c r="S409" s="49">
        <v>0.54459999999999997</v>
      </c>
      <c r="T409" s="49">
        <v>1079</v>
      </c>
      <c r="U409" s="49">
        <v>1.1992</v>
      </c>
      <c r="V409" s="49">
        <v>0</v>
      </c>
      <c r="W409" s="50">
        <v>0</v>
      </c>
      <c r="X409" s="43"/>
      <c r="Y409" s="43"/>
      <c r="Z409" s="43"/>
      <c r="AA409" s="43"/>
      <c r="AB409" s="43"/>
      <c r="AC409" s="43"/>
    </row>
    <row r="410" spans="1:29" x14ac:dyDescent="0.3">
      <c r="A410" s="43"/>
      <c r="B410" s="45" t="s">
        <v>551</v>
      </c>
      <c r="C410" s="48">
        <v>45603</v>
      </c>
      <c r="D410" s="49" t="s">
        <v>161</v>
      </c>
      <c r="E410" s="49" t="s">
        <v>68</v>
      </c>
      <c r="F410" s="49" t="s">
        <v>76</v>
      </c>
      <c r="G410" s="49" t="s">
        <v>141</v>
      </c>
      <c r="H410" s="49" t="s">
        <v>79</v>
      </c>
      <c r="I410" s="49" t="s">
        <v>80</v>
      </c>
      <c r="J410" s="49" t="s">
        <v>81</v>
      </c>
      <c r="K410" s="49">
        <v>6</v>
      </c>
      <c r="L410" s="49">
        <v>60</v>
      </c>
      <c r="M410" s="49">
        <v>0.03</v>
      </c>
      <c r="N410" s="49">
        <v>360</v>
      </c>
      <c r="O410" s="49">
        <v>349.2</v>
      </c>
      <c r="P410" s="49">
        <v>236.35</v>
      </c>
      <c r="Q410" s="49">
        <v>112.85</v>
      </c>
      <c r="R410" s="49">
        <v>0.32319999999999999</v>
      </c>
      <c r="S410" s="49">
        <v>0.67679999999999996</v>
      </c>
      <c r="T410" s="49">
        <v>802</v>
      </c>
      <c r="U410" s="49">
        <v>0.32329999999999998</v>
      </c>
      <c r="V410" s="49">
        <v>0</v>
      </c>
      <c r="W410" s="50">
        <v>0</v>
      </c>
      <c r="X410" s="43"/>
      <c r="Y410" s="43"/>
      <c r="Z410" s="43"/>
      <c r="AA410" s="43"/>
      <c r="AB410" s="43"/>
      <c r="AC410" s="43"/>
    </row>
    <row r="411" spans="1:29" x14ac:dyDescent="0.3">
      <c r="A411" s="43"/>
      <c r="B411" s="45" t="s">
        <v>552</v>
      </c>
      <c r="C411" s="48">
        <v>45514</v>
      </c>
      <c r="D411" s="49" t="s">
        <v>140</v>
      </c>
      <c r="E411" s="49" t="s">
        <v>71</v>
      </c>
      <c r="F411" s="49" t="s">
        <v>72</v>
      </c>
      <c r="G411" s="49" t="s">
        <v>141</v>
      </c>
      <c r="H411" s="49" t="s">
        <v>82</v>
      </c>
      <c r="I411" s="49" t="s">
        <v>83</v>
      </c>
      <c r="J411" s="49" t="s">
        <v>86</v>
      </c>
      <c r="K411" s="49">
        <v>2</v>
      </c>
      <c r="L411" s="49">
        <v>150</v>
      </c>
      <c r="M411" s="49">
        <v>0</v>
      </c>
      <c r="N411" s="49">
        <v>300</v>
      </c>
      <c r="O411" s="49">
        <v>300</v>
      </c>
      <c r="P411" s="49">
        <v>198.82</v>
      </c>
      <c r="Q411" s="49">
        <v>101.18</v>
      </c>
      <c r="R411" s="49">
        <v>0.33729999999999999</v>
      </c>
      <c r="S411" s="49">
        <v>0.66269999999999996</v>
      </c>
      <c r="T411" s="49">
        <v>239</v>
      </c>
      <c r="U411" s="49">
        <v>0.44640000000000002</v>
      </c>
      <c r="V411" s="49">
        <v>0</v>
      </c>
      <c r="W411" s="50">
        <v>0</v>
      </c>
      <c r="X411" s="43"/>
      <c r="Y411" s="43"/>
      <c r="Z411" s="43"/>
      <c r="AA411" s="43"/>
      <c r="AB411" s="43"/>
      <c r="AC411" s="43"/>
    </row>
    <row r="412" spans="1:29" x14ac:dyDescent="0.3">
      <c r="A412" s="43"/>
      <c r="B412" s="45" t="s">
        <v>553</v>
      </c>
      <c r="C412" s="48">
        <v>45740</v>
      </c>
      <c r="D412" s="49" t="s">
        <v>140</v>
      </c>
      <c r="E412" s="49" t="s">
        <v>71</v>
      </c>
      <c r="F412" s="49" t="s">
        <v>76</v>
      </c>
      <c r="G412" s="49" t="s">
        <v>144</v>
      </c>
      <c r="H412" s="49" t="s">
        <v>84</v>
      </c>
      <c r="I412" s="49" t="s">
        <v>83</v>
      </c>
      <c r="J412" s="49" t="s">
        <v>81</v>
      </c>
      <c r="K412" s="49">
        <v>1</v>
      </c>
      <c r="L412" s="49">
        <v>100</v>
      </c>
      <c r="M412" s="49">
        <v>0.08</v>
      </c>
      <c r="N412" s="49">
        <v>100</v>
      </c>
      <c r="O412" s="49">
        <v>92</v>
      </c>
      <c r="P412" s="49">
        <v>52.96</v>
      </c>
      <c r="Q412" s="49">
        <v>39.04</v>
      </c>
      <c r="R412" s="49">
        <v>0.42430000000000001</v>
      </c>
      <c r="S412" s="49">
        <v>0.57569999999999999</v>
      </c>
      <c r="T412" s="49">
        <v>112</v>
      </c>
      <c r="U412" s="49">
        <v>0.1022</v>
      </c>
      <c r="V412" s="49">
        <v>0</v>
      </c>
      <c r="W412" s="50">
        <v>0</v>
      </c>
      <c r="X412" s="43"/>
      <c r="Y412" s="43"/>
      <c r="Z412" s="43"/>
      <c r="AA412" s="43"/>
      <c r="AB412" s="43"/>
      <c r="AC412" s="43"/>
    </row>
    <row r="413" spans="1:29" x14ac:dyDescent="0.3">
      <c r="A413" s="43"/>
      <c r="B413" s="45" t="s">
        <v>554</v>
      </c>
      <c r="C413" s="48">
        <v>45411</v>
      </c>
      <c r="D413" s="49" t="s">
        <v>149</v>
      </c>
      <c r="E413" s="49" t="s">
        <v>70</v>
      </c>
      <c r="F413" s="49" t="s">
        <v>73</v>
      </c>
      <c r="G413" s="49" t="s">
        <v>153</v>
      </c>
      <c r="H413" s="49" t="s">
        <v>84</v>
      </c>
      <c r="I413" s="49" t="s">
        <v>80</v>
      </c>
      <c r="J413" s="49" t="s">
        <v>81</v>
      </c>
      <c r="K413" s="49">
        <v>5</v>
      </c>
      <c r="L413" s="49">
        <v>25</v>
      </c>
      <c r="M413" s="49">
        <v>0.05</v>
      </c>
      <c r="N413" s="49">
        <v>125</v>
      </c>
      <c r="O413" s="49">
        <v>118.75</v>
      </c>
      <c r="P413" s="49">
        <v>79.73</v>
      </c>
      <c r="Q413" s="49">
        <v>39.020000000000003</v>
      </c>
      <c r="R413" s="49">
        <v>0.3286</v>
      </c>
      <c r="S413" s="49">
        <v>0.6714</v>
      </c>
      <c r="T413" s="49">
        <v>93</v>
      </c>
      <c r="U413" s="49">
        <v>0.1414</v>
      </c>
      <c r="V413" s="49">
        <v>0</v>
      </c>
      <c r="W413" s="50">
        <v>0</v>
      </c>
      <c r="X413" s="43"/>
      <c r="Y413" s="43"/>
      <c r="Z413" s="43"/>
      <c r="AA413" s="43"/>
      <c r="AB413" s="43"/>
      <c r="AC413" s="43"/>
    </row>
    <row r="414" spans="1:29" x14ac:dyDescent="0.3">
      <c r="A414" s="43"/>
      <c r="B414" s="45" t="s">
        <v>555</v>
      </c>
      <c r="C414" s="48">
        <v>45333</v>
      </c>
      <c r="D414" s="49" t="s">
        <v>137</v>
      </c>
      <c r="E414" s="49" t="s">
        <v>71</v>
      </c>
      <c r="F414" s="49" t="s">
        <v>72</v>
      </c>
      <c r="G414" s="49" t="s">
        <v>183</v>
      </c>
      <c r="H414" s="49" t="s">
        <v>82</v>
      </c>
      <c r="I414" s="49" t="s">
        <v>83</v>
      </c>
      <c r="J414" s="49" t="s">
        <v>81</v>
      </c>
      <c r="K414" s="49">
        <v>2</v>
      </c>
      <c r="L414" s="49">
        <v>200</v>
      </c>
      <c r="M414" s="49">
        <v>0.05</v>
      </c>
      <c r="N414" s="49">
        <v>400</v>
      </c>
      <c r="O414" s="49">
        <v>380</v>
      </c>
      <c r="P414" s="49">
        <v>238.93</v>
      </c>
      <c r="Q414" s="49">
        <v>141.07</v>
      </c>
      <c r="R414" s="49">
        <v>0.37119999999999997</v>
      </c>
      <c r="S414" s="49">
        <v>0.62880000000000003</v>
      </c>
      <c r="T414" s="49">
        <v>405</v>
      </c>
      <c r="U414" s="49">
        <v>0.63329999999999997</v>
      </c>
      <c r="V414" s="49">
        <v>0</v>
      </c>
      <c r="W414" s="50">
        <v>0</v>
      </c>
      <c r="X414" s="43"/>
      <c r="Y414" s="43"/>
      <c r="Z414" s="43"/>
      <c r="AA414" s="43"/>
      <c r="AB414" s="43"/>
      <c r="AC414" s="43"/>
    </row>
    <row r="415" spans="1:29" x14ac:dyDescent="0.3">
      <c r="A415" s="43"/>
      <c r="B415" s="45" t="s">
        <v>556</v>
      </c>
      <c r="C415" s="48">
        <v>45614</v>
      </c>
      <c r="D415" s="49" t="s">
        <v>149</v>
      </c>
      <c r="E415" s="49" t="s">
        <v>70</v>
      </c>
      <c r="F415" s="49" t="s">
        <v>75</v>
      </c>
      <c r="G415" s="49" t="s">
        <v>153</v>
      </c>
      <c r="H415" s="49" t="s">
        <v>79</v>
      </c>
      <c r="I415" s="49" t="s">
        <v>83</v>
      </c>
      <c r="J415" s="49" t="s">
        <v>81</v>
      </c>
      <c r="K415" s="49">
        <v>3</v>
      </c>
      <c r="L415" s="49">
        <v>150</v>
      </c>
      <c r="M415" s="49">
        <v>0</v>
      </c>
      <c r="N415" s="49">
        <v>450</v>
      </c>
      <c r="O415" s="49">
        <v>450</v>
      </c>
      <c r="P415" s="49">
        <v>265.02999999999997</v>
      </c>
      <c r="Q415" s="49">
        <v>184.97</v>
      </c>
      <c r="R415" s="49">
        <v>0.41099999999999998</v>
      </c>
      <c r="S415" s="49">
        <v>0.58899999999999997</v>
      </c>
      <c r="T415" s="49">
        <v>524</v>
      </c>
      <c r="U415" s="49">
        <v>0.57689999999999997</v>
      </c>
      <c r="V415" s="49">
        <v>0</v>
      </c>
      <c r="W415" s="50">
        <v>0</v>
      </c>
      <c r="X415" s="43"/>
      <c r="Y415" s="43"/>
      <c r="Z415" s="43"/>
      <c r="AA415" s="43"/>
      <c r="AB415" s="43"/>
      <c r="AC415" s="43"/>
    </row>
    <row r="416" spans="1:29" x14ac:dyDescent="0.3">
      <c r="A416" s="43"/>
      <c r="B416" s="45" t="s">
        <v>557</v>
      </c>
      <c r="C416" s="48">
        <v>45690</v>
      </c>
      <c r="D416" s="49" t="s">
        <v>151</v>
      </c>
      <c r="E416" s="49" t="s">
        <v>70</v>
      </c>
      <c r="F416" s="49" t="s">
        <v>76</v>
      </c>
      <c r="G416" s="49" t="s">
        <v>141</v>
      </c>
      <c r="H416" s="49" t="s">
        <v>82</v>
      </c>
      <c r="I416" s="49" t="s">
        <v>80</v>
      </c>
      <c r="J416" s="49" t="s">
        <v>81</v>
      </c>
      <c r="K416" s="49">
        <v>3</v>
      </c>
      <c r="L416" s="49">
        <v>300</v>
      </c>
      <c r="M416" s="49">
        <v>0.03</v>
      </c>
      <c r="N416" s="49">
        <v>900</v>
      </c>
      <c r="O416" s="49">
        <v>873</v>
      </c>
      <c r="P416" s="49">
        <v>565.49</v>
      </c>
      <c r="Q416" s="49">
        <v>307.51</v>
      </c>
      <c r="R416" s="49">
        <v>0.35220000000000001</v>
      </c>
      <c r="S416" s="49">
        <v>0.64780000000000004</v>
      </c>
      <c r="T416" s="49">
        <v>1065</v>
      </c>
      <c r="U416" s="49">
        <v>0.97</v>
      </c>
      <c r="V416" s="49">
        <v>0</v>
      </c>
      <c r="W416" s="50">
        <v>0</v>
      </c>
      <c r="X416" s="43"/>
      <c r="Y416" s="43"/>
      <c r="Z416" s="43"/>
      <c r="AA416" s="43"/>
      <c r="AB416" s="43"/>
      <c r="AC416" s="43"/>
    </row>
    <row r="417" spans="1:29" x14ac:dyDescent="0.3">
      <c r="A417" s="43"/>
      <c r="B417" s="45" t="s">
        <v>558</v>
      </c>
      <c r="C417" s="48">
        <v>45980</v>
      </c>
      <c r="D417" s="49" t="s">
        <v>143</v>
      </c>
      <c r="E417" s="49" t="s">
        <v>69</v>
      </c>
      <c r="F417" s="49" t="s">
        <v>76</v>
      </c>
      <c r="G417" s="49" t="s">
        <v>183</v>
      </c>
      <c r="H417" s="49" t="s">
        <v>79</v>
      </c>
      <c r="I417" s="49" t="s">
        <v>83</v>
      </c>
      <c r="J417" s="49" t="s">
        <v>81</v>
      </c>
      <c r="K417" s="49">
        <v>8</v>
      </c>
      <c r="L417" s="49">
        <v>500</v>
      </c>
      <c r="M417" s="49">
        <v>0</v>
      </c>
      <c r="N417" s="49">
        <v>4000</v>
      </c>
      <c r="O417" s="49">
        <v>4000</v>
      </c>
      <c r="P417" s="49">
        <v>2628.34</v>
      </c>
      <c r="Q417" s="49">
        <v>1371.66</v>
      </c>
      <c r="R417" s="49">
        <v>0.34289999999999998</v>
      </c>
      <c r="S417" s="49">
        <v>0.65710000000000002</v>
      </c>
      <c r="T417" s="49">
        <v>1863</v>
      </c>
      <c r="U417" s="49">
        <v>3.7037</v>
      </c>
      <c r="V417" s="49">
        <v>0</v>
      </c>
      <c r="W417" s="50">
        <v>0</v>
      </c>
      <c r="X417" s="43"/>
      <c r="Y417" s="43"/>
      <c r="Z417" s="43"/>
      <c r="AA417" s="43"/>
      <c r="AB417" s="43"/>
      <c r="AC417" s="43"/>
    </row>
    <row r="418" spans="1:29" x14ac:dyDescent="0.3">
      <c r="A418" s="43"/>
      <c r="B418" s="45" t="s">
        <v>559</v>
      </c>
      <c r="C418" s="48">
        <v>45708</v>
      </c>
      <c r="D418" s="49" t="s">
        <v>143</v>
      </c>
      <c r="E418" s="49" t="s">
        <v>69</v>
      </c>
      <c r="F418" s="49" t="s">
        <v>75</v>
      </c>
      <c r="G418" s="49" t="s">
        <v>147</v>
      </c>
      <c r="H418" s="49" t="s">
        <v>82</v>
      </c>
      <c r="I418" s="49" t="s">
        <v>83</v>
      </c>
      <c r="J418" s="49" t="s">
        <v>81</v>
      </c>
      <c r="K418" s="49">
        <v>2</v>
      </c>
      <c r="L418" s="49">
        <v>500</v>
      </c>
      <c r="M418" s="49">
        <v>0.03</v>
      </c>
      <c r="N418" s="49">
        <v>1000</v>
      </c>
      <c r="O418" s="49">
        <v>970</v>
      </c>
      <c r="P418" s="49">
        <v>469.04</v>
      </c>
      <c r="Q418" s="49">
        <v>500.96</v>
      </c>
      <c r="R418" s="49">
        <v>0.51649999999999996</v>
      </c>
      <c r="S418" s="49">
        <v>0.48349999999999999</v>
      </c>
      <c r="T418" s="49">
        <v>1054</v>
      </c>
      <c r="U418" s="49">
        <v>1.4923</v>
      </c>
      <c r="V418" s="49">
        <v>0</v>
      </c>
      <c r="W418" s="50">
        <v>0</v>
      </c>
      <c r="X418" s="43"/>
      <c r="Y418" s="43"/>
      <c r="Z418" s="43"/>
      <c r="AA418" s="43"/>
      <c r="AB418" s="43"/>
      <c r="AC418" s="43"/>
    </row>
    <row r="419" spans="1:29" x14ac:dyDescent="0.3">
      <c r="A419" s="43"/>
      <c r="B419" s="45" t="s">
        <v>560</v>
      </c>
      <c r="C419" s="48">
        <v>45461</v>
      </c>
      <c r="D419" s="49" t="s">
        <v>137</v>
      </c>
      <c r="E419" s="49" t="s">
        <v>71</v>
      </c>
      <c r="F419" s="49" t="s">
        <v>76</v>
      </c>
      <c r="G419" s="49" t="s">
        <v>138</v>
      </c>
      <c r="H419" s="49" t="s">
        <v>82</v>
      </c>
      <c r="I419" s="49" t="s">
        <v>83</v>
      </c>
      <c r="J419" s="49" t="s">
        <v>81</v>
      </c>
      <c r="K419" s="49">
        <v>4</v>
      </c>
      <c r="L419" s="49">
        <v>200</v>
      </c>
      <c r="M419" s="49">
        <v>0.08</v>
      </c>
      <c r="N419" s="49">
        <v>800</v>
      </c>
      <c r="O419" s="49">
        <v>736</v>
      </c>
      <c r="P419" s="49">
        <v>393.82</v>
      </c>
      <c r="Q419" s="49">
        <v>342.18</v>
      </c>
      <c r="R419" s="49">
        <v>0.46489999999999998</v>
      </c>
      <c r="S419" s="49">
        <v>0.53510000000000002</v>
      </c>
      <c r="T419" s="49">
        <v>1395</v>
      </c>
      <c r="U419" s="49">
        <v>0.77880000000000005</v>
      </c>
      <c r="V419" s="49">
        <v>0</v>
      </c>
      <c r="W419" s="50">
        <v>0</v>
      </c>
      <c r="X419" s="43"/>
      <c r="Y419" s="43"/>
      <c r="Z419" s="43"/>
      <c r="AA419" s="43"/>
      <c r="AB419" s="43"/>
      <c r="AC419" s="43"/>
    </row>
    <row r="420" spans="1:29" x14ac:dyDescent="0.3">
      <c r="A420" s="43"/>
      <c r="B420" s="45" t="s">
        <v>561</v>
      </c>
      <c r="C420" s="48">
        <v>45399</v>
      </c>
      <c r="D420" s="49" t="s">
        <v>161</v>
      </c>
      <c r="E420" s="49" t="s">
        <v>68</v>
      </c>
      <c r="F420" s="49" t="s">
        <v>74</v>
      </c>
      <c r="G420" s="49" t="s">
        <v>138</v>
      </c>
      <c r="H420" s="49" t="s">
        <v>84</v>
      </c>
      <c r="I420" s="49" t="s">
        <v>83</v>
      </c>
      <c r="J420" s="49" t="s">
        <v>81</v>
      </c>
      <c r="K420" s="49">
        <v>8</v>
      </c>
      <c r="L420" s="49">
        <v>750</v>
      </c>
      <c r="M420" s="49">
        <v>0.05</v>
      </c>
      <c r="N420" s="49">
        <v>6000</v>
      </c>
      <c r="O420" s="49">
        <v>5700</v>
      </c>
      <c r="P420" s="49">
        <v>2590.89</v>
      </c>
      <c r="Q420" s="49">
        <v>3109.11</v>
      </c>
      <c r="R420" s="49">
        <v>0.54549999999999998</v>
      </c>
      <c r="S420" s="49">
        <v>0.45450000000000002</v>
      </c>
      <c r="T420" s="49">
        <v>3840</v>
      </c>
      <c r="U420" s="49">
        <v>7.2335000000000003</v>
      </c>
      <c r="V420" s="49">
        <v>0</v>
      </c>
      <c r="W420" s="50">
        <v>0</v>
      </c>
      <c r="X420" s="43"/>
      <c r="Y420" s="43"/>
      <c r="Z420" s="43"/>
      <c r="AA420" s="43"/>
      <c r="AB420" s="43"/>
      <c r="AC420" s="43"/>
    </row>
    <row r="421" spans="1:29" x14ac:dyDescent="0.3">
      <c r="A421" s="43"/>
      <c r="B421" s="45" t="s">
        <v>562</v>
      </c>
      <c r="C421" s="48">
        <v>45407</v>
      </c>
      <c r="D421" s="49" t="s">
        <v>143</v>
      </c>
      <c r="E421" s="49" t="s">
        <v>69</v>
      </c>
      <c r="F421" s="49" t="s">
        <v>75</v>
      </c>
      <c r="G421" s="49" t="s">
        <v>141</v>
      </c>
      <c r="H421" s="49" t="s">
        <v>85</v>
      </c>
      <c r="I421" s="49" t="s">
        <v>80</v>
      </c>
      <c r="J421" s="49" t="s">
        <v>81</v>
      </c>
      <c r="K421" s="49">
        <v>4</v>
      </c>
      <c r="L421" s="49">
        <v>60</v>
      </c>
      <c r="M421" s="49">
        <v>0.08</v>
      </c>
      <c r="N421" s="49">
        <v>240</v>
      </c>
      <c r="O421" s="49">
        <v>220.8</v>
      </c>
      <c r="P421" s="49">
        <v>121.09</v>
      </c>
      <c r="Q421" s="49">
        <v>99.71</v>
      </c>
      <c r="R421" s="49">
        <v>0.4516</v>
      </c>
      <c r="S421" s="49">
        <v>0.5484</v>
      </c>
      <c r="T421" s="49">
        <v>262</v>
      </c>
      <c r="U421" s="49">
        <v>0.32379999999999998</v>
      </c>
      <c r="V421" s="49">
        <v>0</v>
      </c>
      <c r="W421" s="50">
        <v>0</v>
      </c>
      <c r="X421" s="43"/>
      <c r="Y421" s="43"/>
      <c r="Z421" s="43"/>
      <c r="AA421" s="43"/>
      <c r="AB421" s="43"/>
      <c r="AC421" s="43"/>
    </row>
    <row r="422" spans="1:29" x14ac:dyDescent="0.3">
      <c r="A422" s="43"/>
      <c r="B422" s="45" t="s">
        <v>563</v>
      </c>
      <c r="C422" s="48">
        <v>45626</v>
      </c>
      <c r="D422" s="49" t="s">
        <v>140</v>
      </c>
      <c r="E422" s="49" t="s">
        <v>71</v>
      </c>
      <c r="F422" s="49" t="s">
        <v>75</v>
      </c>
      <c r="G422" s="49" t="s">
        <v>183</v>
      </c>
      <c r="H422" s="49" t="s">
        <v>84</v>
      </c>
      <c r="I422" s="49" t="s">
        <v>83</v>
      </c>
      <c r="J422" s="49" t="s">
        <v>81</v>
      </c>
      <c r="K422" s="49">
        <v>7</v>
      </c>
      <c r="L422" s="49">
        <v>750</v>
      </c>
      <c r="M422" s="49">
        <v>0.08</v>
      </c>
      <c r="N422" s="49">
        <v>5250</v>
      </c>
      <c r="O422" s="49">
        <v>4830</v>
      </c>
      <c r="P422" s="49">
        <v>2715.99</v>
      </c>
      <c r="Q422" s="49">
        <v>2114.0100000000002</v>
      </c>
      <c r="R422" s="49">
        <v>0.43769999999999998</v>
      </c>
      <c r="S422" s="49">
        <v>0.56230000000000002</v>
      </c>
      <c r="T422" s="49">
        <v>5151</v>
      </c>
      <c r="U422" s="49">
        <v>6.1923000000000004</v>
      </c>
      <c r="V422" s="49">
        <v>0</v>
      </c>
      <c r="W422" s="50">
        <v>0</v>
      </c>
      <c r="X422" s="43"/>
      <c r="Y422" s="43"/>
      <c r="Z422" s="43"/>
      <c r="AA422" s="43"/>
      <c r="AB422" s="43"/>
      <c r="AC422" s="43"/>
    </row>
    <row r="423" spans="1:29" x14ac:dyDescent="0.3">
      <c r="A423" s="43"/>
      <c r="B423" s="45" t="s">
        <v>564</v>
      </c>
      <c r="C423" s="48">
        <v>45813</v>
      </c>
      <c r="D423" s="49" t="s">
        <v>143</v>
      </c>
      <c r="E423" s="49" t="s">
        <v>69</v>
      </c>
      <c r="F423" s="49" t="s">
        <v>73</v>
      </c>
      <c r="G423" s="49" t="s">
        <v>153</v>
      </c>
      <c r="H423" s="49" t="s">
        <v>79</v>
      </c>
      <c r="I423" s="49" t="s">
        <v>80</v>
      </c>
      <c r="J423" s="49" t="s">
        <v>81</v>
      </c>
      <c r="K423" s="49">
        <v>1</v>
      </c>
      <c r="L423" s="49">
        <v>40</v>
      </c>
      <c r="M423" s="49">
        <v>0.08</v>
      </c>
      <c r="N423" s="49">
        <v>40</v>
      </c>
      <c r="O423" s="49">
        <v>36.799999999999997</v>
      </c>
      <c r="P423" s="49">
        <v>18.54</v>
      </c>
      <c r="Q423" s="49">
        <v>18.260000000000002</v>
      </c>
      <c r="R423" s="49">
        <v>0.49619999999999997</v>
      </c>
      <c r="S423" s="49">
        <v>0.50380000000000003</v>
      </c>
      <c r="T423" s="49">
        <v>43</v>
      </c>
      <c r="U423" s="49">
        <v>4.3799999999999999E-2</v>
      </c>
      <c r="V423" s="49">
        <v>1</v>
      </c>
      <c r="W423" s="50">
        <v>1</v>
      </c>
      <c r="X423" s="43"/>
      <c r="Y423" s="43"/>
      <c r="Z423" s="43"/>
      <c r="AA423" s="43"/>
      <c r="AB423" s="43"/>
      <c r="AC423" s="43"/>
    </row>
    <row r="424" spans="1:29" x14ac:dyDescent="0.3">
      <c r="A424" s="43"/>
      <c r="B424" s="45" t="s">
        <v>565</v>
      </c>
      <c r="C424" s="48">
        <v>45305</v>
      </c>
      <c r="D424" s="49" t="s">
        <v>151</v>
      </c>
      <c r="E424" s="49" t="s">
        <v>70</v>
      </c>
      <c r="F424" s="49" t="s">
        <v>76</v>
      </c>
      <c r="G424" s="49" t="s">
        <v>147</v>
      </c>
      <c r="H424" s="49" t="s">
        <v>82</v>
      </c>
      <c r="I424" s="49" t="s">
        <v>83</v>
      </c>
      <c r="J424" s="49" t="s">
        <v>81</v>
      </c>
      <c r="K424" s="49">
        <v>4</v>
      </c>
      <c r="L424" s="49">
        <v>300</v>
      </c>
      <c r="M424" s="49">
        <v>0.1</v>
      </c>
      <c r="N424" s="49">
        <v>1200</v>
      </c>
      <c r="O424" s="49">
        <v>1080</v>
      </c>
      <c r="P424" s="49">
        <v>754.18</v>
      </c>
      <c r="Q424" s="49">
        <v>325.82</v>
      </c>
      <c r="R424" s="49">
        <v>0.30170000000000002</v>
      </c>
      <c r="S424" s="49">
        <v>0.69830000000000003</v>
      </c>
      <c r="T424" s="49">
        <v>1177</v>
      </c>
      <c r="U424" s="49">
        <v>1.2</v>
      </c>
      <c r="V424" s="49">
        <v>0</v>
      </c>
      <c r="W424" s="50">
        <v>0</v>
      </c>
      <c r="X424" s="43"/>
      <c r="Y424" s="43"/>
      <c r="Z424" s="43"/>
      <c r="AA424" s="43"/>
      <c r="AB424" s="43"/>
      <c r="AC424" s="43"/>
    </row>
    <row r="425" spans="1:29" x14ac:dyDescent="0.3">
      <c r="A425" s="43"/>
      <c r="B425" s="45" t="s">
        <v>566</v>
      </c>
      <c r="C425" s="48">
        <v>45653</v>
      </c>
      <c r="D425" s="49" t="s">
        <v>143</v>
      </c>
      <c r="E425" s="49" t="s">
        <v>69</v>
      </c>
      <c r="F425" s="49" t="s">
        <v>75</v>
      </c>
      <c r="G425" s="49" t="s">
        <v>153</v>
      </c>
      <c r="H425" s="49" t="s">
        <v>82</v>
      </c>
      <c r="I425" s="49" t="s">
        <v>80</v>
      </c>
      <c r="J425" s="49" t="s">
        <v>81</v>
      </c>
      <c r="K425" s="49">
        <v>4</v>
      </c>
      <c r="L425" s="49">
        <v>60</v>
      </c>
      <c r="M425" s="49">
        <v>0.08</v>
      </c>
      <c r="N425" s="49">
        <v>240</v>
      </c>
      <c r="O425" s="49">
        <v>220.8</v>
      </c>
      <c r="P425" s="49">
        <v>150.30000000000001</v>
      </c>
      <c r="Q425" s="49">
        <v>70.5</v>
      </c>
      <c r="R425" s="49">
        <v>0.31929999999999997</v>
      </c>
      <c r="S425" s="49">
        <v>0.68069999999999997</v>
      </c>
      <c r="T425" s="49">
        <v>268</v>
      </c>
      <c r="U425" s="49">
        <v>0.28310000000000002</v>
      </c>
      <c r="V425" s="49">
        <v>0</v>
      </c>
      <c r="W425" s="50">
        <v>0</v>
      </c>
      <c r="X425" s="43"/>
      <c r="Y425" s="43"/>
      <c r="Z425" s="43"/>
      <c r="AA425" s="43"/>
      <c r="AB425" s="43"/>
      <c r="AC425" s="43"/>
    </row>
    <row r="426" spans="1:29" x14ac:dyDescent="0.3">
      <c r="A426" s="43"/>
      <c r="B426" s="45" t="s">
        <v>567</v>
      </c>
      <c r="C426" s="48">
        <v>45931</v>
      </c>
      <c r="D426" s="49" t="s">
        <v>151</v>
      </c>
      <c r="E426" s="49" t="s">
        <v>70</v>
      </c>
      <c r="F426" s="49" t="s">
        <v>72</v>
      </c>
      <c r="G426" s="49" t="s">
        <v>183</v>
      </c>
      <c r="H426" s="49" t="s">
        <v>84</v>
      </c>
      <c r="I426" s="49" t="s">
        <v>80</v>
      </c>
      <c r="J426" s="49" t="s">
        <v>81</v>
      </c>
      <c r="K426" s="49">
        <v>3</v>
      </c>
      <c r="L426" s="49">
        <v>25</v>
      </c>
      <c r="M426" s="49">
        <v>0</v>
      </c>
      <c r="N426" s="49">
        <v>75</v>
      </c>
      <c r="O426" s="49">
        <v>75</v>
      </c>
      <c r="P426" s="49">
        <v>61.36</v>
      </c>
      <c r="Q426" s="49">
        <v>13.64</v>
      </c>
      <c r="R426" s="49">
        <v>0.18190000000000001</v>
      </c>
      <c r="S426" s="49">
        <v>0.81810000000000005</v>
      </c>
      <c r="T426" s="49">
        <v>45</v>
      </c>
      <c r="U426" s="49">
        <v>0.1042</v>
      </c>
      <c r="V426" s="49">
        <v>0</v>
      </c>
      <c r="W426" s="50">
        <v>0</v>
      </c>
      <c r="X426" s="43"/>
      <c r="Y426" s="43"/>
      <c r="Z426" s="43"/>
      <c r="AA426" s="43"/>
      <c r="AB426" s="43"/>
      <c r="AC426" s="43"/>
    </row>
    <row r="427" spans="1:29" x14ac:dyDescent="0.3">
      <c r="A427" s="43"/>
      <c r="B427" s="45" t="s">
        <v>568</v>
      </c>
      <c r="C427" s="48">
        <v>45686</v>
      </c>
      <c r="D427" s="49" t="s">
        <v>140</v>
      </c>
      <c r="E427" s="49" t="s">
        <v>71</v>
      </c>
      <c r="F427" s="49" t="s">
        <v>72</v>
      </c>
      <c r="G427" s="49" t="s">
        <v>147</v>
      </c>
      <c r="H427" s="49" t="s">
        <v>82</v>
      </c>
      <c r="I427" s="49" t="s">
        <v>80</v>
      </c>
      <c r="J427" s="49" t="s">
        <v>81</v>
      </c>
      <c r="K427" s="49">
        <v>3</v>
      </c>
      <c r="L427" s="49">
        <v>40</v>
      </c>
      <c r="M427" s="49">
        <v>0</v>
      </c>
      <c r="N427" s="49">
        <v>120</v>
      </c>
      <c r="O427" s="49">
        <v>120</v>
      </c>
      <c r="P427" s="49">
        <v>82.72</v>
      </c>
      <c r="Q427" s="49">
        <v>37.28</v>
      </c>
      <c r="R427" s="49">
        <v>0.31069999999999998</v>
      </c>
      <c r="S427" s="49">
        <v>0.68930000000000002</v>
      </c>
      <c r="T427" s="49">
        <v>127</v>
      </c>
      <c r="U427" s="49">
        <v>0.2</v>
      </c>
      <c r="V427" s="49">
        <v>0</v>
      </c>
      <c r="W427" s="50">
        <v>0</v>
      </c>
      <c r="X427" s="43"/>
      <c r="Y427" s="43"/>
      <c r="Z427" s="43"/>
      <c r="AA427" s="43"/>
      <c r="AB427" s="43"/>
      <c r="AC427" s="43"/>
    </row>
    <row r="428" spans="1:29" x14ac:dyDescent="0.3">
      <c r="A428" s="43"/>
      <c r="B428" s="45" t="s">
        <v>569</v>
      </c>
      <c r="C428" s="48">
        <v>45535</v>
      </c>
      <c r="D428" s="49" t="s">
        <v>137</v>
      </c>
      <c r="E428" s="49" t="s">
        <v>71</v>
      </c>
      <c r="F428" s="49" t="s">
        <v>73</v>
      </c>
      <c r="G428" s="49" t="s">
        <v>144</v>
      </c>
      <c r="H428" s="49" t="s">
        <v>84</v>
      </c>
      <c r="I428" s="49" t="s">
        <v>80</v>
      </c>
      <c r="J428" s="49" t="s">
        <v>86</v>
      </c>
      <c r="K428" s="49">
        <v>7</v>
      </c>
      <c r="L428" s="49">
        <v>100</v>
      </c>
      <c r="M428" s="49">
        <v>0.1</v>
      </c>
      <c r="N428" s="49">
        <v>700</v>
      </c>
      <c r="O428" s="49">
        <v>630</v>
      </c>
      <c r="P428" s="49">
        <v>488.13</v>
      </c>
      <c r="Q428" s="49">
        <v>141.87</v>
      </c>
      <c r="R428" s="49">
        <v>0.22520000000000001</v>
      </c>
      <c r="S428" s="49">
        <v>0.77480000000000004</v>
      </c>
      <c r="T428" s="49">
        <v>288</v>
      </c>
      <c r="U428" s="49">
        <v>0.70309999999999995</v>
      </c>
      <c r="V428" s="49">
        <v>0</v>
      </c>
      <c r="W428" s="50">
        <v>0</v>
      </c>
      <c r="X428" s="43"/>
      <c r="Y428" s="43"/>
      <c r="Z428" s="43"/>
      <c r="AA428" s="43"/>
      <c r="AB428" s="43"/>
      <c r="AC428" s="43"/>
    </row>
    <row r="429" spans="1:29" x14ac:dyDescent="0.3">
      <c r="A429" s="43"/>
      <c r="B429" s="45" t="s">
        <v>570</v>
      </c>
      <c r="C429" s="48">
        <v>45761</v>
      </c>
      <c r="D429" s="49" t="s">
        <v>143</v>
      </c>
      <c r="E429" s="49" t="s">
        <v>69</v>
      </c>
      <c r="F429" s="49" t="s">
        <v>74</v>
      </c>
      <c r="G429" s="49" t="s">
        <v>144</v>
      </c>
      <c r="H429" s="49" t="s">
        <v>79</v>
      </c>
      <c r="I429" s="49" t="s">
        <v>80</v>
      </c>
      <c r="J429" s="49" t="s">
        <v>81</v>
      </c>
      <c r="K429" s="49">
        <v>2</v>
      </c>
      <c r="L429" s="49">
        <v>300</v>
      </c>
      <c r="M429" s="49">
        <v>0</v>
      </c>
      <c r="N429" s="49">
        <v>600</v>
      </c>
      <c r="O429" s="49">
        <v>600</v>
      </c>
      <c r="P429" s="49">
        <v>416.5</v>
      </c>
      <c r="Q429" s="49">
        <v>183.5</v>
      </c>
      <c r="R429" s="49">
        <v>0.30580000000000002</v>
      </c>
      <c r="S429" s="49">
        <v>0.69420000000000004</v>
      </c>
      <c r="T429" s="49">
        <v>511</v>
      </c>
      <c r="U429" s="49">
        <v>0.76139999999999997</v>
      </c>
      <c r="V429" s="49">
        <v>0</v>
      </c>
      <c r="W429" s="50">
        <v>0</v>
      </c>
      <c r="X429" s="43"/>
      <c r="Y429" s="43"/>
      <c r="Z429" s="43"/>
      <c r="AA429" s="43"/>
      <c r="AB429" s="43"/>
      <c r="AC429" s="43"/>
    </row>
    <row r="430" spans="1:29" x14ac:dyDescent="0.3">
      <c r="A430" s="43"/>
      <c r="B430" s="45" t="s">
        <v>571</v>
      </c>
      <c r="C430" s="48">
        <v>45786</v>
      </c>
      <c r="D430" s="49" t="s">
        <v>143</v>
      </c>
      <c r="E430" s="49" t="s">
        <v>69</v>
      </c>
      <c r="F430" s="49" t="s">
        <v>74</v>
      </c>
      <c r="G430" s="49" t="s">
        <v>141</v>
      </c>
      <c r="H430" s="49" t="s">
        <v>84</v>
      </c>
      <c r="I430" s="49" t="s">
        <v>83</v>
      </c>
      <c r="J430" s="49" t="s">
        <v>86</v>
      </c>
      <c r="K430" s="49">
        <v>7</v>
      </c>
      <c r="L430" s="49">
        <v>500</v>
      </c>
      <c r="M430" s="49">
        <v>0.1</v>
      </c>
      <c r="N430" s="49">
        <v>3500</v>
      </c>
      <c r="O430" s="49">
        <v>3150</v>
      </c>
      <c r="P430" s="49">
        <v>1951.08</v>
      </c>
      <c r="Q430" s="49">
        <v>1198.92</v>
      </c>
      <c r="R430" s="49">
        <v>0.38059999999999999</v>
      </c>
      <c r="S430" s="49">
        <v>0.61939999999999995</v>
      </c>
      <c r="T430" s="49">
        <v>2069</v>
      </c>
      <c r="U430" s="49">
        <v>3.9975000000000001</v>
      </c>
      <c r="V430" s="49">
        <v>0</v>
      </c>
      <c r="W430" s="50">
        <v>0</v>
      </c>
      <c r="X430" s="43"/>
      <c r="Y430" s="43"/>
      <c r="Z430" s="43"/>
      <c r="AA430" s="43"/>
      <c r="AB430" s="43"/>
      <c r="AC430" s="43"/>
    </row>
    <row r="431" spans="1:29" x14ac:dyDescent="0.3">
      <c r="A431" s="43"/>
      <c r="B431" s="45" t="s">
        <v>572</v>
      </c>
      <c r="C431" s="48">
        <v>45600</v>
      </c>
      <c r="D431" s="49" t="s">
        <v>143</v>
      </c>
      <c r="E431" s="49" t="s">
        <v>69</v>
      </c>
      <c r="F431" s="49" t="s">
        <v>76</v>
      </c>
      <c r="G431" s="49" t="s">
        <v>141</v>
      </c>
      <c r="H431" s="49" t="s">
        <v>82</v>
      </c>
      <c r="I431" s="49" t="s">
        <v>83</v>
      </c>
      <c r="J431" s="49" t="s">
        <v>86</v>
      </c>
      <c r="K431" s="49">
        <v>1</v>
      </c>
      <c r="L431" s="49">
        <v>150</v>
      </c>
      <c r="M431" s="49">
        <v>0</v>
      </c>
      <c r="N431" s="49">
        <v>150</v>
      </c>
      <c r="O431" s="49">
        <v>150</v>
      </c>
      <c r="P431" s="49">
        <v>89.56</v>
      </c>
      <c r="Q431" s="49">
        <v>60.44</v>
      </c>
      <c r="R431" s="49">
        <v>0.40289999999999998</v>
      </c>
      <c r="S431" s="49">
        <v>0.59709999999999996</v>
      </c>
      <c r="T431" s="49">
        <v>162</v>
      </c>
      <c r="U431" s="49">
        <v>0.1389</v>
      </c>
      <c r="V431" s="49">
        <v>0</v>
      </c>
      <c r="W431" s="50">
        <v>0</v>
      </c>
      <c r="X431" s="43"/>
      <c r="Y431" s="43"/>
      <c r="Z431" s="43"/>
      <c r="AA431" s="43"/>
      <c r="AB431" s="43"/>
      <c r="AC431" s="43"/>
    </row>
    <row r="432" spans="1:29" x14ac:dyDescent="0.3">
      <c r="A432" s="43"/>
      <c r="B432" s="45" t="s">
        <v>573</v>
      </c>
      <c r="C432" s="48">
        <v>45357</v>
      </c>
      <c r="D432" s="49" t="s">
        <v>151</v>
      </c>
      <c r="E432" s="49" t="s">
        <v>70</v>
      </c>
      <c r="F432" s="49" t="s">
        <v>74</v>
      </c>
      <c r="G432" s="49" t="s">
        <v>153</v>
      </c>
      <c r="H432" s="49" t="s">
        <v>82</v>
      </c>
      <c r="I432" s="49" t="s">
        <v>80</v>
      </c>
      <c r="J432" s="49" t="s">
        <v>81</v>
      </c>
      <c r="K432" s="49">
        <v>5</v>
      </c>
      <c r="L432" s="49">
        <v>80</v>
      </c>
      <c r="M432" s="49">
        <v>0</v>
      </c>
      <c r="N432" s="49">
        <v>400</v>
      </c>
      <c r="O432" s="49">
        <v>400</v>
      </c>
      <c r="P432" s="49">
        <v>222.51</v>
      </c>
      <c r="Q432" s="49">
        <v>177.49</v>
      </c>
      <c r="R432" s="49">
        <v>0.44369999999999998</v>
      </c>
      <c r="S432" s="49">
        <v>0.55630000000000002</v>
      </c>
      <c r="T432" s="49">
        <v>775</v>
      </c>
      <c r="U432" s="49">
        <v>0.5333</v>
      </c>
      <c r="V432" s="49">
        <v>0</v>
      </c>
      <c r="W432" s="50">
        <v>0</v>
      </c>
      <c r="X432" s="43"/>
      <c r="Y432" s="43"/>
      <c r="Z432" s="43"/>
      <c r="AA432" s="43"/>
      <c r="AB432" s="43"/>
      <c r="AC432" s="43"/>
    </row>
    <row r="433" spans="1:29" x14ac:dyDescent="0.3">
      <c r="A433" s="43"/>
      <c r="B433" s="45" t="s">
        <v>574</v>
      </c>
      <c r="C433" s="48">
        <v>45456</v>
      </c>
      <c r="D433" s="49" t="s">
        <v>151</v>
      </c>
      <c r="E433" s="49" t="s">
        <v>70</v>
      </c>
      <c r="F433" s="49" t="s">
        <v>75</v>
      </c>
      <c r="G433" s="49" t="s">
        <v>147</v>
      </c>
      <c r="H433" s="49" t="s">
        <v>85</v>
      </c>
      <c r="I433" s="49" t="s">
        <v>80</v>
      </c>
      <c r="J433" s="49" t="s">
        <v>81</v>
      </c>
      <c r="K433" s="49">
        <v>7</v>
      </c>
      <c r="L433" s="49">
        <v>500</v>
      </c>
      <c r="M433" s="49">
        <v>0.05</v>
      </c>
      <c r="N433" s="49">
        <v>3500</v>
      </c>
      <c r="O433" s="49">
        <v>3325</v>
      </c>
      <c r="P433" s="49">
        <v>1995.8</v>
      </c>
      <c r="Q433" s="49">
        <v>1329.2</v>
      </c>
      <c r="R433" s="49">
        <v>0.39979999999999999</v>
      </c>
      <c r="S433" s="49">
        <v>0.60019999999999996</v>
      </c>
      <c r="T433" s="49">
        <v>2604</v>
      </c>
      <c r="U433" s="49">
        <v>4.8754</v>
      </c>
      <c r="V433" s="49">
        <v>0</v>
      </c>
      <c r="W433" s="50">
        <v>0</v>
      </c>
      <c r="X433" s="43"/>
      <c r="Y433" s="43"/>
      <c r="Z433" s="43"/>
      <c r="AA433" s="43"/>
      <c r="AB433" s="43"/>
      <c r="AC433" s="43"/>
    </row>
    <row r="434" spans="1:29" x14ac:dyDescent="0.3">
      <c r="A434" s="43"/>
      <c r="B434" s="45" t="s">
        <v>575</v>
      </c>
      <c r="C434" s="48">
        <v>45679</v>
      </c>
      <c r="D434" s="49" t="s">
        <v>140</v>
      </c>
      <c r="E434" s="49" t="s">
        <v>71</v>
      </c>
      <c r="F434" s="49" t="s">
        <v>76</v>
      </c>
      <c r="G434" s="49" t="s">
        <v>144</v>
      </c>
      <c r="H434" s="49" t="s">
        <v>82</v>
      </c>
      <c r="I434" s="49" t="s">
        <v>83</v>
      </c>
      <c r="J434" s="49" t="s">
        <v>86</v>
      </c>
      <c r="K434" s="49">
        <v>4</v>
      </c>
      <c r="L434" s="49">
        <v>25</v>
      </c>
      <c r="M434" s="49">
        <v>0.1</v>
      </c>
      <c r="N434" s="49">
        <v>100</v>
      </c>
      <c r="O434" s="49">
        <v>90</v>
      </c>
      <c r="P434" s="49">
        <v>62.04</v>
      </c>
      <c r="Q434" s="49">
        <v>27.96</v>
      </c>
      <c r="R434" s="49">
        <v>0.31069999999999998</v>
      </c>
      <c r="S434" s="49">
        <v>0.68930000000000002</v>
      </c>
      <c r="T434" s="49">
        <v>96</v>
      </c>
      <c r="U434" s="49">
        <v>0.1</v>
      </c>
      <c r="V434" s="49">
        <v>0</v>
      </c>
      <c r="W434" s="50">
        <v>0</v>
      </c>
      <c r="X434" s="43"/>
      <c r="Y434" s="43"/>
      <c r="Z434" s="43"/>
      <c r="AA434" s="43"/>
      <c r="AB434" s="43"/>
      <c r="AC434" s="43"/>
    </row>
    <row r="435" spans="1:29" x14ac:dyDescent="0.3">
      <c r="A435" s="43"/>
      <c r="B435" s="45" t="s">
        <v>576</v>
      </c>
      <c r="C435" s="48">
        <v>45659</v>
      </c>
      <c r="D435" s="49" t="s">
        <v>161</v>
      </c>
      <c r="E435" s="49" t="s">
        <v>68</v>
      </c>
      <c r="F435" s="49" t="s">
        <v>74</v>
      </c>
      <c r="G435" s="49" t="s">
        <v>141</v>
      </c>
      <c r="H435" s="49" t="s">
        <v>79</v>
      </c>
      <c r="I435" s="49" t="s">
        <v>83</v>
      </c>
      <c r="J435" s="49" t="s">
        <v>86</v>
      </c>
      <c r="K435" s="49">
        <v>3</v>
      </c>
      <c r="L435" s="49">
        <v>150</v>
      </c>
      <c r="M435" s="49">
        <v>0</v>
      </c>
      <c r="N435" s="49">
        <v>450</v>
      </c>
      <c r="O435" s="49">
        <v>450</v>
      </c>
      <c r="P435" s="49">
        <v>298.38</v>
      </c>
      <c r="Q435" s="49">
        <v>151.62</v>
      </c>
      <c r="R435" s="49">
        <v>0.33689999999999998</v>
      </c>
      <c r="S435" s="49">
        <v>0.66310000000000002</v>
      </c>
      <c r="T435" s="49">
        <v>351</v>
      </c>
      <c r="U435" s="49">
        <v>0.6</v>
      </c>
      <c r="V435" s="49">
        <v>0</v>
      </c>
      <c r="W435" s="50">
        <v>0</v>
      </c>
      <c r="X435" s="43"/>
      <c r="Y435" s="43"/>
      <c r="Z435" s="43"/>
      <c r="AA435" s="43"/>
      <c r="AB435" s="43"/>
      <c r="AC435" s="43"/>
    </row>
    <row r="436" spans="1:29" x14ac:dyDescent="0.3">
      <c r="A436" s="43"/>
      <c r="B436" s="45" t="s">
        <v>577</v>
      </c>
      <c r="C436" s="48">
        <v>45474</v>
      </c>
      <c r="D436" s="49" t="s">
        <v>161</v>
      </c>
      <c r="E436" s="49" t="s">
        <v>68</v>
      </c>
      <c r="F436" s="49" t="s">
        <v>75</v>
      </c>
      <c r="G436" s="49" t="s">
        <v>147</v>
      </c>
      <c r="H436" s="49" t="s">
        <v>84</v>
      </c>
      <c r="I436" s="49" t="s">
        <v>83</v>
      </c>
      <c r="J436" s="49" t="s">
        <v>81</v>
      </c>
      <c r="K436" s="49">
        <v>3</v>
      </c>
      <c r="L436" s="49">
        <v>100</v>
      </c>
      <c r="M436" s="49">
        <v>0</v>
      </c>
      <c r="N436" s="49">
        <v>300</v>
      </c>
      <c r="O436" s="49">
        <v>300</v>
      </c>
      <c r="P436" s="49">
        <v>177.94</v>
      </c>
      <c r="Q436" s="49">
        <v>122.06</v>
      </c>
      <c r="R436" s="49">
        <v>0.40689999999999998</v>
      </c>
      <c r="S436" s="49">
        <v>0.59309999999999996</v>
      </c>
      <c r="T436" s="49">
        <v>356</v>
      </c>
      <c r="U436" s="49">
        <v>0.41210000000000002</v>
      </c>
      <c r="V436" s="49">
        <v>0</v>
      </c>
      <c r="W436" s="50">
        <v>0</v>
      </c>
      <c r="X436" s="43"/>
      <c r="Y436" s="43"/>
      <c r="Z436" s="43"/>
      <c r="AA436" s="43"/>
      <c r="AB436" s="43"/>
      <c r="AC436" s="43"/>
    </row>
    <row r="437" spans="1:29" x14ac:dyDescent="0.3">
      <c r="A437" s="43"/>
      <c r="B437" s="45" t="s">
        <v>578</v>
      </c>
      <c r="C437" s="48">
        <v>45661</v>
      </c>
      <c r="D437" s="49" t="s">
        <v>140</v>
      </c>
      <c r="E437" s="49" t="s">
        <v>71</v>
      </c>
      <c r="F437" s="49" t="s">
        <v>74</v>
      </c>
      <c r="G437" s="49" t="s">
        <v>144</v>
      </c>
      <c r="H437" s="49" t="s">
        <v>85</v>
      </c>
      <c r="I437" s="49" t="s">
        <v>80</v>
      </c>
      <c r="J437" s="49" t="s">
        <v>81</v>
      </c>
      <c r="K437" s="49">
        <v>4</v>
      </c>
      <c r="L437" s="49">
        <v>100</v>
      </c>
      <c r="M437" s="49">
        <v>0.1</v>
      </c>
      <c r="N437" s="49">
        <v>400</v>
      </c>
      <c r="O437" s="49">
        <v>360</v>
      </c>
      <c r="P437" s="49">
        <v>228.97</v>
      </c>
      <c r="Q437" s="49">
        <v>131.03</v>
      </c>
      <c r="R437" s="49">
        <v>0.36399999999999999</v>
      </c>
      <c r="S437" s="49">
        <v>0.63600000000000001</v>
      </c>
      <c r="T437" s="49">
        <v>446</v>
      </c>
      <c r="U437" s="49">
        <v>0.48</v>
      </c>
      <c r="V437" s="49">
        <v>0</v>
      </c>
      <c r="W437" s="50">
        <v>0</v>
      </c>
      <c r="X437" s="43"/>
      <c r="Y437" s="43"/>
      <c r="Z437" s="43"/>
      <c r="AA437" s="43"/>
      <c r="AB437" s="43"/>
      <c r="AC437" s="43"/>
    </row>
    <row r="438" spans="1:29" x14ac:dyDescent="0.3">
      <c r="A438" s="43"/>
      <c r="B438" s="45" t="s">
        <v>579</v>
      </c>
      <c r="C438" s="48">
        <v>45655</v>
      </c>
      <c r="D438" s="49" t="s">
        <v>151</v>
      </c>
      <c r="E438" s="49" t="s">
        <v>70</v>
      </c>
      <c r="F438" s="49" t="s">
        <v>72</v>
      </c>
      <c r="G438" s="49" t="s">
        <v>153</v>
      </c>
      <c r="H438" s="49" t="s">
        <v>79</v>
      </c>
      <c r="I438" s="49" t="s">
        <v>83</v>
      </c>
      <c r="J438" s="49" t="s">
        <v>86</v>
      </c>
      <c r="K438" s="49">
        <v>4</v>
      </c>
      <c r="L438" s="49">
        <v>300</v>
      </c>
      <c r="M438" s="49">
        <v>0.1</v>
      </c>
      <c r="N438" s="49">
        <v>1200</v>
      </c>
      <c r="O438" s="49">
        <v>1080</v>
      </c>
      <c r="P438" s="49">
        <v>774.06</v>
      </c>
      <c r="Q438" s="49">
        <v>305.94</v>
      </c>
      <c r="R438" s="49">
        <v>0.2833</v>
      </c>
      <c r="S438" s="49">
        <v>0.7167</v>
      </c>
      <c r="T438" s="49">
        <v>856</v>
      </c>
      <c r="U438" s="49">
        <v>1.5</v>
      </c>
      <c r="V438" s="49">
        <v>0</v>
      </c>
      <c r="W438" s="50">
        <v>0</v>
      </c>
      <c r="X438" s="43"/>
      <c r="Y438" s="43"/>
      <c r="Z438" s="43"/>
      <c r="AA438" s="43"/>
      <c r="AB438" s="43"/>
      <c r="AC438" s="43"/>
    </row>
    <row r="439" spans="1:29" x14ac:dyDescent="0.3">
      <c r="A439" s="43"/>
      <c r="B439" s="45" t="s">
        <v>580</v>
      </c>
      <c r="C439" s="48">
        <v>45305</v>
      </c>
      <c r="D439" s="49" t="s">
        <v>143</v>
      </c>
      <c r="E439" s="49" t="s">
        <v>69</v>
      </c>
      <c r="F439" s="49" t="s">
        <v>74</v>
      </c>
      <c r="G439" s="49" t="s">
        <v>147</v>
      </c>
      <c r="H439" s="49" t="s">
        <v>85</v>
      </c>
      <c r="I439" s="49" t="s">
        <v>83</v>
      </c>
      <c r="J439" s="49" t="s">
        <v>81</v>
      </c>
      <c r="K439" s="49">
        <v>4</v>
      </c>
      <c r="L439" s="49">
        <v>100</v>
      </c>
      <c r="M439" s="49">
        <v>0.03</v>
      </c>
      <c r="N439" s="49">
        <v>400</v>
      </c>
      <c r="O439" s="49">
        <v>388</v>
      </c>
      <c r="P439" s="49">
        <v>267.39999999999998</v>
      </c>
      <c r="Q439" s="49">
        <v>120.6</v>
      </c>
      <c r="R439" s="49">
        <v>0.31080000000000002</v>
      </c>
      <c r="S439" s="49">
        <v>0.68920000000000003</v>
      </c>
      <c r="T439" s="49">
        <v>460</v>
      </c>
      <c r="U439" s="49">
        <v>0.51729999999999998</v>
      </c>
      <c r="V439" s="49">
        <v>0</v>
      </c>
      <c r="W439" s="50">
        <v>0</v>
      </c>
      <c r="X439" s="43"/>
      <c r="Y439" s="43"/>
      <c r="Z439" s="43"/>
      <c r="AA439" s="43"/>
      <c r="AB439" s="43"/>
      <c r="AC439" s="43"/>
    </row>
    <row r="440" spans="1:29" x14ac:dyDescent="0.3">
      <c r="A440" s="43"/>
      <c r="B440" s="45" t="s">
        <v>581</v>
      </c>
      <c r="C440" s="48">
        <v>45702</v>
      </c>
      <c r="D440" s="49" t="s">
        <v>137</v>
      </c>
      <c r="E440" s="49" t="s">
        <v>71</v>
      </c>
      <c r="F440" s="49" t="s">
        <v>75</v>
      </c>
      <c r="G440" s="49" t="s">
        <v>183</v>
      </c>
      <c r="H440" s="49" t="s">
        <v>85</v>
      </c>
      <c r="I440" s="49" t="s">
        <v>83</v>
      </c>
      <c r="J440" s="49" t="s">
        <v>81</v>
      </c>
      <c r="K440" s="49">
        <v>2</v>
      </c>
      <c r="L440" s="49">
        <v>150</v>
      </c>
      <c r="M440" s="49">
        <v>0</v>
      </c>
      <c r="N440" s="49">
        <v>300</v>
      </c>
      <c r="O440" s="49">
        <v>300</v>
      </c>
      <c r="P440" s="49">
        <v>183.04</v>
      </c>
      <c r="Q440" s="49">
        <v>116.96</v>
      </c>
      <c r="R440" s="49">
        <v>0.38990000000000002</v>
      </c>
      <c r="S440" s="49">
        <v>0.61009999999999998</v>
      </c>
      <c r="T440" s="49">
        <v>354</v>
      </c>
      <c r="U440" s="49">
        <v>0.46150000000000002</v>
      </c>
      <c r="V440" s="49">
        <v>0</v>
      </c>
      <c r="W440" s="50">
        <v>0</v>
      </c>
      <c r="X440" s="43"/>
      <c r="Y440" s="43"/>
      <c r="Z440" s="43"/>
      <c r="AA440" s="43"/>
      <c r="AB440" s="43"/>
      <c r="AC440" s="43"/>
    </row>
    <row r="441" spans="1:29" x14ac:dyDescent="0.3">
      <c r="A441" s="43"/>
      <c r="B441" s="45" t="s">
        <v>582</v>
      </c>
      <c r="C441" s="48">
        <v>45860</v>
      </c>
      <c r="D441" s="49" t="s">
        <v>143</v>
      </c>
      <c r="E441" s="49" t="s">
        <v>69</v>
      </c>
      <c r="F441" s="49" t="s">
        <v>76</v>
      </c>
      <c r="G441" s="49" t="s">
        <v>147</v>
      </c>
      <c r="H441" s="49" t="s">
        <v>85</v>
      </c>
      <c r="I441" s="49" t="s">
        <v>80</v>
      </c>
      <c r="J441" s="49" t="s">
        <v>86</v>
      </c>
      <c r="K441" s="49">
        <v>3</v>
      </c>
      <c r="L441" s="49">
        <v>60</v>
      </c>
      <c r="M441" s="49">
        <v>0</v>
      </c>
      <c r="N441" s="49">
        <v>180</v>
      </c>
      <c r="O441" s="49">
        <v>180</v>
      </c>
      <c r="P441" s="49">
        <v>94.87</v>
      </c>
      <c r="Q441" s="49">
        <v>85.13</v>
      </c>
      <c r="R441" s="49">
        <v>0.47289999999999999</v>
      </c>
      <c r="S441" s="49">
        <v>0.52710000000000001</v>
      </c>
      <c r="T441" s="49">
        <v>188</v>
      </c>
      <c r="U441" s="49">
        <v>0.17860000000000001</v>
      </c>
      <c r="V441" s="49">
        <v>0</v>
      </c>
      <c r="W441" s="50">
        <v>0</v>
      </c>
      <c r="X441" s="43"/>
      <c r="Y441" s="43"/>
      <c r="Z441" s="43"/>
      <c r="AA441" s="43"/>
      <c r="AB441" s="43"/>
      <c r="AC441" s="43"/>
    </row>
    <row r="442" spans="1:29" x14ac:dyDescent="0.3">
      <c r="A442" s="43"/>
      <c r="B442" s="45" t="s">
        <v>583</v>
      </c>
      <c r="C442" s="48">
        <v>45385</v>
      </c>
      <c r="D442" s="49" t="s">
        <v>137</v>
      </c>
      <c r="E442" s="49" t="s">
        <v>71</v>
      </c>
      <c r="F442" s="49" t="s">
        <v>74</v>
      </c>
      <c r="G442" s="49" t="s">
        <v>144</v>
      </c>
      <c r="H442" s="49" t="s">
        <v>79</v>
      </c>
      <c r="I442" s="49" t="s">
        <v>83</v>
      </c>
      <c r="J442" s="49" t="s">
        <v>86</v>
      </c>
      <c r="K442" s="49">
        <v>4</v>
      </c>
      <c r="L442" s="49">
        <v>150</v>
      </c>
      <c r="M442" s="49">
        <v>0.1</v>
      </c>
      <c r="N442" s="49">
        <v>600</v>
      </c>
      <c r="O442" s="49">
        <v>540</v>
      </c>
      <c r="P442" s="49">
        <v>315.01</v>
      </c>
      <c r="Q442" s="49">
        <v>224.99</v>
      </c>
      <c r="R442" s="49">
        <v>0.41660000000000003</v>
      </c>
      <c r="S442" s="49">
        <v>0.58340000000000003</v>
      </c>
      <c r="T442" s="49">
        <v>1027</v>
      </c>
      <c r="U442" s="49">
        <v>0.68530000000000002</v>
      </c>
      <c r="V442" s="49">
        <v>0</v>
      </c>
      <c r="W442" s="50">
        <v>0</v>
      </c>
      <c r="X442" s="43"/>
      <c r="Y442" s="43"/>
      <c r="Z442" s="43"/>
      <c r="AA442" s="43"/>
      <c r="AB442" s="43"/>
      <c r="AC442" s="43"/>
    </row>
    <row r="443" spans="1:29" x14ac:dyDescent="0.3">
      <c r="A443" s="43"/>
      <c r="B443" s="45" t="s">
        <v>584</v>
      </c>
      <c r="C443" s="48">
        <v>45715</v>
      </c>
      <c r="D443" s="49" t="s">
        <v>149</v>
      </c>
      <c r="E443" s="49" t="s">
        <v>70</v>
      </c>
      <c r="F443" s="49" t="s">
        <v>76</v>
      </c>
      <c r="G443" s="49" t="s">
        <v>144</v>
      </c>
      <c r="H443" s="49" t="s">
        <v>85</v>
      </c>
      <c r="I443" s="49" t="s">
        <v>80</v>
      </c>
      <c r="J443" s="49" t="s">
        <v>81</v>
      </c>
      <c r="K443" s="49">
        <v>4</v>
      </c>
      <c r="L443" s="49">
        <v>100</v>
      </c>
      <c r="M443" s="49">
        <v>0.03</v>
      </c>
      <c r="N443" s="49">
        <v>400</v>
      </c>
      <c r="O443" s="49">
        <v>388</v>
      </c>
      <c r="P443" s="49">
        <v>204.16</v>
      </c>
      <c r="Q443" s="49">
        <v>183.84</v>
      </c>
      <c r="R443" s="49">
        <v>0.4738</v>
      </c>
      <c r="S443" s="49">
        <v>0.5262</v>
      </c>
      <c r="T443" s="49">
        <v>303</v>
      </c>
      <c r="U443" s="49">
        <v>0.43109999999999998</v>
      </c>
      <c r="V443" s="49">
        <v>0</v>
      </c>
      <c r="W443" s="50">
        <v>0</v>
      </c>
      <c r="X443" s="43"/>
      <c r="Y443" s="43"/>
      <c r="Z443" s="43"/>
      <c r="AA443" s="43"/>
      <c r="AB443" s="43"/>
      <c r="AC443" s="43"/>
    </row>
    <row r="444" spans="1:29" x14ac:dyDescent="0.3">
      <c r="A444" s="43"/>
      <c r="B444" s="45" t="s">
        <v>585</v>
      </c>
      <c r="C444" s="48">
        <v>45900</v>
      </c>
      <c r="D444" s="49" t="s">
        <v>143</v>
      </c>
      <c r="E444" s="49" t="s">
        <v>69</v>
      </c>
      <c r="F444" s="49" t="s">
        <v>72</v>
      </c>
      <c r="G444" s="49" t="s">
        <v>183</v>
      </c>
      <c r="H444" s="49" t="s">
        <v>82</v>
      </c>
      <c r="I444" s="49" t="s">
        <v>83</v>
      </c>
      <c r="J444" s="49" t="s">
        <v>86</v>
      </c>
      <c r="K444" s="49">
        <v>6</v>
      </c>
      <c r="L444" s="49">
        <v>500</v>
      </c>
      <c r="M444" s="49">
        <v>0.05</v>
      </c>
      <c r="N444" s="49">
        <v>3000</v>
      </c>
      <c r="O444" s="49">
        <v>2850</v>
      </c>
      <c r="P444" s="49">
        <v>1780.19</v>
      </c>
      <c r="Q444" s="49">
        <v>1069.81</v>
      </c>
      <c r="R444" s="49">
        <v>0.37540000000000001</v>
      </c>
      <c r="S444" s="49">
        <v>0.62460000000000004</v>
      </c>
      <c r="T444" s="49">
        <v>2240</v>
      </c>
      <c r="U444" s="49">
        <v>4.2411000000000003</v>
      </c>
      <c r="V444" s="49">
        <v>0</v>
      </c>
      <c r="W444" s="50">
        <v>0</v>
      </c>
      <c r="X444" s="43"/>
      <c r="Y444" s="43"/>
      <c r="Z444" s="43"/>
      <c r="AA444" s="43"/>
      <c r="AB444" s="43"/>
      <c r="AC444" s="43"/>
    </row>
    <row r="445" spans="1:29" x14ac:dyDescent="0.3">
      <c r="A445" s="43"/>
      <c r="B445" s="45" t="s">
        <v>586</v>
      </c>
      <c r="C445" s="48">
        <v>45419</v>
      </c>
      <c r="D445" s="49" t="s">
        <v>151</v>
      </c>
      <c r="E445" s="49" t="s">
        <v>70</v>
      </c>
      <c r="F445" s="49" t="s">
        <v>72</v>
      </c>
      <c r="G445" s="49" t="s">
        <v>144</v>
      </c>
      <c r="H445" s="49" t="s">
        <v>79</v>
      </c>
      <c r="I445" s="49" t="s">
        <v>83</v>
      </c>
      <c r="J445" s="49" t="s">
        <v>81</v>
      </c>
      <c r="K445" s="49">
        <v>4</v>
      </c>
      <c r="L445" s="49">
        <v>100</v>
      </c>
      <c r="M445" s="49">
        <v>0</v>
      </c>
      <c r="N445" s="49">
        <v>400</v>
      </c>
      <c r="O445" s="49">
        <v>400</v>
      </c>
      <c r="P445" s="49">
        <v>264.99</v>
      </c>
      <c r="Q445" s="49">
        <v>135.01</v>
      </c>
      <c r="R445" s="49">
        <v>0.33750000000000002</v>
      </c>
      <c r="S445" s="49">
        <v>0.66249999999999998</v>
      </c>
      <c r="T445" s="49">
        <v>494</v>
      </c>
      <c r="U445" s="49">
        <v>0.63490000000000002</v>
      </c>
      <c r="V445" s="49">
        <v>0</v>
      </c>
      <c r="W445" s="50">
        <v>0</v>
      </c>
      <c r="X445" s="43"/>
      <c r="Y445" s="43"/>
      <c r="Z445" s="43"/>
      <c r="AA445" s="43"/>
      <c r="AB445" s="43"/>
      <c r="AC445" s="43"/>
    </row>
    <row r="446" spans="1:29" x14ac:dyDescent="0.3">
      <c r="A446" s="43"/>
      <c r="B446" s="45" t="s">
        <v>587</v>
      </c>
      <c r="C446" s="48">
        <v>45983</v>
      </c>
      <c r="D446" s="49" t="s">
        <v>151</v>
      </c>
      <c r="E446" s="49" t="s">
        <v>70</v>
      </c>
      <c r="F446" s="49" t="s">
        <v>76</v>
      </c>
      <c r="G446" s="49" t="s">
        <v>153</v>
      </c>
      <c r="H446" s="49" t="s">
        <v>85</v>
      </c>
      <c r="I446" s="49" t="s">
        <v>83</v>
      </c>
      <c r="J446" s="49" t="s">
        <v>81</v>
      </c>
      <c r="K446" s="49">
        <v>4</v>
      </c>
      <c r="L446" s="49">
        <v>40</v>
      </c>
      <c r="M446" s="49">
        <v>0.1</v>
      </c>
      <c r="N446" s="49">
        <v>160</v>
      </c>
      <c r="O446" s="49">
        <v>144</v>
      </c>
      <c r="P446" s="49">
        <v>105.97</v>
      </c>
      <c r="Q446" s="49">
        <v>38.03</v>
      </c>
      <c r="R446" s="49">
        <v>0.2641</v>
      </c>
      <c r="S446" s="49">
        <v>0.7359</v>
      </c>
      <c r="T446" s="49">
        <v>155</v>
      </c>
      <c r="U446" s="49">
        <v>0.1333</v>
      </c>
      <c r="V446" s="49">
        <v>0</v>
      </c>
      <c r="W446" s="50">
        <v>0</v>
      </c>
      <c r="X446" s="43"/>
      <c r="Y446" s="43"/>
      <c r="Z446" s="43"/>
      <c r="AA446" s="43"/>
      <c r="AB446" s="43"/>
      <c r="AC446" s="43"/>
    </row>
    <row r="447" spans="1:29" x14ac:dyDescent="0.3">
      <c r="A447" s="43"/>
      <c r="B447" s="45" t="s">
        <v>588</v>
      </c>
      <c r="C447" s="48">
        <v>45590</v>
      </c>
      <c r="D447" s="49" t="s">
        <v>140</v>
      </c>
      <c r="E447" s="49" t="s">
        <v>71</v>
      </c>
      <c r="F447" s="49" t="s">
        <v>75</v>
      </c>
      <c r="G447" s="49" t="s">
        <v>138</v>
      </c>
      <c r="H447" s="49" t="s">
        <v>84</v>
      </c>
      <c r="I447" s="49" t="s">
        <v>83</v>
      </c>
      <c r="J447" s="49" t="s">
        <v>81</v>
      </c>
      <c r="K447" s="49">
        <v>6</v>
      </c>
      <c r="L447" s="49">
        <v>150</v>
      </c>
      <c r="M447" s="49">
        <v>0.03</v>
      </c>
      <c r="N447" s="49">
        <v>900</v>
      </c>
      <c r="O447" s="49">
        <v>873</v>
      </c>
      <c r="P447" s="49">
        <v>648.38</v>
      </c>
      <c r="Q447" s="49">
        <v>224.62</v>
      </c>
      <c r="R447" s="49">
        <v>0.25729999999999997</v>
      </c>
      <c r="S447" s="49">
        <v>0.74270000000000003</v>
      </c>
      <c r="T447" s="49">
        <v>696</v>
      </c>
      <c r="U447" s="49">
        <v>1.1192</v>
      </c>
      <c r="V447" s="49">
        <v>0</v>
      </c>
      <c r="W447" s="50">
        <v>0</v>
      </c>
      <c r="X447" s="43"/>
      <c r="Y447" s="43"/>
      <c r="Z447" s="43"/>
      <c r="AA447" s="43"/>
      <c r="AB447" s="43"/>
      <c r="AC447" s="43"/>
    </row>
    <row r="448" spans="1:29" x14ac:dyDescent="0.3">
      <c r="A448" s="43"/>
      <c r="B448" s="45" t="s">
        <v>589</v>
      </c>
      <c r="C448" s="48">
        <v>45457</v>
      </c>
      <c r="D448" s="49" t="s">
        <v>140</v>
      </c>
      <c r="E448" s="49" t="s">
        <v>71</v>
      </c>
      <c r="F448" s="49" t="s">
        <v>76</v>
      </c>
      <c r="G448" s="49" t="s">
        <v>183</v>
      </c>
      <c r="H448" s="49" t="s">
        <v>85</v>
      </c>
      <c r="I448" s="49" t="s">
        <v>83</v>
      </c>
      <c r="J448" s="49" t="s">
        <v>86</v>
      </c>
      <c r="K448" s="49">
        <v>6</v>
      </c>
      <c r="L448" s="49">
        <v>150</v>
      </c>
      <c r="M448" s="49">
        <v>0.1</v>
      </c>
      <c r="N448" s="49">
        <v>900</v>
      </c>
      <c r="O448" s="49">
        <v>810</v>
      </c>
      <c r="P448" s="49">
        <v>402.51</v>
      </c>
      <c r="Q448" s="49">
        <v>407.49</v>
      </c>
      <c r="R448" s="49">
        <v>0.50309999999999999</v>
      </c>
      <c r="S448" s="49">
        <v>0.49690000000000001</v>
      </c>
      <c r="T448" s="49">
        <v>964</v>
      </c>
      <c r="U448" s="49">
        <v>0.85709999999999997</v>
      </c>
      <c r="V448" s="49">
        <v>0</v>
      </c>
      <c r="W448" s="50">
        <v>0</v>
      </c>
      <c r="X448" s="43"/>
      <c r="Y448" s="43"/>
      <c r="Z448" s="43"/>
      <c r="AA448" s="43"/>
      <c r="AB448" s="43"/>
      <c r="AC448" s="43"/>
    </row>
    <row r="449" spans="1:29" x14ac:dyDescent="0.3">
      <c r="A449" s="43"/>
      <c r="B449" s="45" t="s">
        <v>590</v>
      </c>
      <c r="C449" s="48">
        <v>45968</v>
      </c>
      <c r="D449" s="49" t="s">
        <v>143</v>
      </c>
      <c r="E449" s="49" t="s">
        <v>69</v>
      </c>
      <c r="F449" s="49" t="s">
        <v>75</v>
      </c>
      <c r="G449" s="49" t="s">
        <v>153</v>
      </c>
      <c r="H449" s="49" t="s">
        <v>82</v>
      </c>
      <c r="I449" s="49" t="s">
        <v>83</v>
      </c>
      <c r="J449" s="49" t="s">
        <v>81</v>
      </c>
      <c r="K449" s="49">
        <v>6</v>
      </c>
      <c r="L449" s="49">
        <v>80</v>
      </c>
      <c r="M449" s="49">
        <v>0.15</v>
      </c>
      <c r="N449" s="49">
        <v>480</v>
      </c>
      <c r="O449" s="49">
        <v>408</v>
      </c>
      <c r="P449" s="49">
        <v>245.28</v>
      </c>
      <c r="Q449" s="49">
        <v>162.72</v>
      </c>
      <c r="R449" s="49">
        <v>0.39879999999999999</v>
      </c>
      <c r="S449" s="49">
        <v>0.60119999999999996</v>
      </c>
      <c r="T449" s="49">
        <v>243</v>
      </c>
      <c r="U449" s="49">
        <v>0.52310000000000001</v>
      </c>
      <c r="V449" s="49">
        <v>0</v>
      </c>
      <c r="W449" s="50">
        <v>0</v>
      </c>
      <c r="X449" s="43"/>
      <c r="Y449" s="43"/>
      <c r="Z449" s="43"/>
      <c r="AA449" s="43"/>
      <c r="AB449" s="43"/>
      <c r="AC449" s="43"/>
    </row>
    <row r="450" spans="1:29" x14ac:dyDescent="0.3">
      <c r="A450" s="43"/>
      <c r="B450" s="45" t="s">
        <v>591</v>
      </c>
      <c r="C450" s="48">
        <v>45526</v>
      </c>
      <c r="D450" s="49" t="s">
        <v>149</v>
      </c>
      <c r="E450" s="49" t="s">
        <v>70</v>
      </c>
      <c r="F450" s="49" t="s">
        <v>74</v>
      </c>
      <c r="G450" s="49" t="s">
        <v>147</v>
      </c>
      <c r="H450" s="49" t="s">
        <v>85</v>
      </c>
      <c r="I450" s="49" t="s">
        <v>80</v>
      </c>
      <c r="J450" s="49" t="s">
        <v>81</v>
      </c>
      <c r="K450" s="49">
        <v>6</v>
      </c>
      <c r="L450" s="49">
        <v>40</v>
      </c>
      <c r="M450" s="49">
        <v>0.03</v>
      </c>
      <c r="N450" s="49">
        <v>240</v>
      </c>
      <c r="O450" s="49">
        <v>232.8</v>
      </c>
      <c r="P450" s="49">
        <v>167.61</v>
      </c>
      <c r="Q450" s="49">
        <v>65.19</v>
      </c>
      <c r="R450" s="49">
        <v>0.28000000000000003</v>
      </c>
      <c r="S450" s="49">
        <v>0.72</v>
      </c>
      <c r="T450" s="49">
        <v>107</v>
      </c>
      <c r="U450" s="49">
        <v>0.27710000000000001</v>
      </c>
      <c r="V450" s="49">
        <v>1</v>
      </c>
      <c r="W450" s="50">
        <v>0.16669999999999999</v>
      </c>
      <c r="X450" s="43"/>
      <c r="Y450" s="43"/>
      <c r="Z450" s="43"/>
      <c r="AA450" s="43"/>
      <c r="AB450" s="43"/>
      <c r="AC450" s="43"/>
    </row>
    <row r="451" spans="1:29" x14ac:dyDescent="0.3">
      <c r="A451" s="43"/>
      <c r="B451" s="45" t="s">
        <v>592</v>
      </c>
      <c r="C451" s="48">
        <v>45629</v>
      </c>
      <c r="D451" s="49" t="s">
        <v>149</v>
      </c>
      <c r="E451" s="49" t="s">
        <v>70</v>
      </c>
      <c r="F451" s="49" t="s">
        <v>74</v>
      </c>
      <c r="G451" s="49" t="s">
        <v>138</v>
      </c>
      <c r="H451" s="49" t="s">
        <v>82</v>
      </c>
      <c r="I451" s="49" t="s">
        <v>80</v>
      </c>
      <c r="J451" s="49" t="s">
        <v>81</v>
      </c>
      <c r="K451" s="49">
        <v>3</v>
      </c>
      <c r="L451" s="49">
        <v>25</v>
      </c>
      <c r="M451" s="49">
        <v>0.08</v>
      </c>
      <c r="N451" s="49">
        <v>75</v>
      </c>
      <c r="O451" s="49">
        <v>69</v>
      </c>
      <c r="P451" s="49">
        <v>51.19</v>
      </c>
      <c r="Q451" s="49">
        <v>17.809999999999999</v>
      </c>
      <c r="R451" s="49">
        <v>0.2581</v>
      </c>
      <c r="S451" s="49">
        <v>0.7419</v>
      </c>
      <c r="T451" s="49">
        <v>74</v>
      </c>
      <c r="U451" s="49">
        <v>7.6700000000000004E-2</v>
      </c>
      <c r="V451" s="49">
        <v>0</v>
      </c>
      <c r="W451" s="50">
        <v>0</v>
      </c>
      <c r="X451" s="43"/>
      <c r="Y451" s="43"/>
      <c r="Z451" s="43"/>
      <c r="AA451" s="43"/>
      <c r="AB451" s="43"/>
      <c r="AC451" s="43"/>
    </row>
    <row r="452" spans="1:29" x14ac:dyDescent="0.3">
      <c r="A452" s="43"/>
      <c r="B452" s="45" t="s">
        <v>593</v>
      </c>
      <c r="C452" s="48">
        <v>45331</v>
      </c>
      <c r="D452" s="49" t="s">
        <v>149</v>
      </c>
      <c r="E452" s="49" t="s">
        <v>70</v>
      </c>
      <c r="F452" s="49" t="s">
        <v>76</v>
      </c>
      <c r="G452" s="49" t="s">
        <v>147</v>
      </c>
      <c r="H452" s="49" t="s">
        <v>82</v>
      </c>
      <c r="I452" s="49" t="s">
        <v>80</v>
      </c>
      <c r="J452" s="49" t="s">
        <v>81</v>
      </c>
      <c r="K452" s="49">
        <v>2</v>
      </c>
      <c r="L452" s="49">
        <v>60</v>
      </c>
      <c r="M452" s="49">
        <v>0.08</v>
      </c>
      <c r="N452" s="49">
        <v>120</v>
      </c>
      <c r="O452" s="49">
        <v>110.4</v>
      </c>
      <c r="P452" s="49">
        <v>67.790000000000006</v>
      </c>
      <c r="Q452" s="49">
        <v>42.61</v>
      </c>
      <c r="R452" s="49">
        <v>0.38600000000000001</v>
      </c>
      <c r="S452" s="49">
        <v>0.61399999999999999</v>
      </c>
      <c r="T452" s="49">
        <v>66</v>
      </c>
      <c r="U452" s="49">
        <v>0.1227</v>
      </c>
      <c r="V452" s="49">
        <v>0</v>
      </c>
      <c r="W452" s="50">
        <v>0</v>
      </c>
      <c r="X452" s="43"/>
      <c r="Y452" s="43"/>
      <c r="Z452" s="43"/>
      <c r="AA452" s="43"/>
      <c r="AB452" s="43"/>
      <c r="AC452" s="43"/>
    </row>
    <row r="453" spans="1:29" x14ac:dyDescent="0.3">
      <c r="A453" s="43"/>
      <c r="B453" s="45" t="s">
        <v>594</v>
      </c>
      <c r="C453" s="48">
        <v>46018</v>
      </c>
      <c r="D453" s="49" t="s">
        <v>143</v>
      </c>
      <c r="E453" s="49" t="s">
        <v>69</v>
      </c>
      <c r="F453" s="49" t="s">
        <v>72</v>
      </c>
      <c r="G453" s="49" t="s">
        <v>147</v>
      </c>
      <c r="H453" s="49" t="s">
        <v>84</v>
      </c>
      <c r="I453" s="49" t="s">
        <v>83</v>
      </c>
      <c r="J453" s="49" t="s">
        <v>81</v>
      </c>
      <c r="K453" s="49">
        <v>7</v>
      </c>
      <c r="L453" s="49">
        <v>80</v>
      </c>
      <c r="M453" s="49">
        <v>0.08</v>
      </c>
      <c r="N453" s="49">
        <v>560</v>
      </c>
      <c r="O453" s="49">
        <v>515.20000000000005</v>
      </c>
      <c r="P453" s="49">
        <v>285.76</v>
      </c>
      <c r="Q453" s="49">
        <v>229.44</v>
      </c>
      <c r="R453" s="49">
        <v>0.44529999999999997</v>
      </c>
      <c r="S453" s="49">
        <v>0.55469999999999997</v>
      </c>
      <c r="T453" s="49">
        <v>702</v>
      </c>
      <c r="U453" s="49">
        <v>0.71560000000000001</v>
      </c>
      <c r="V453" s="49">
        <v>0</v>
      </c>
      <c r="W453" s="50">
        <v>0</v>
      </c>
      <c r="X453" s="43"/>
      <c r="Y453" s="43"/>
      <c r="Z453" s="43"/>
      <c r="AA453" s="43"/>
      <c r="AB453" s="43"/>
      <c r="AC453" s="43"/>
    </row>
    <row r="454" spans="1:29" x14ac:dyDescent="0.3">
      <c r="A454" s="43"/>
      <c r="B454" s="45" t="s">
        <v>595</v>
      </c>
      <c r="C454" s="48">
        <v>45662</v>
      </c>
      <c r="D454" s="49" t="s">
        <v>143</v>
      </c>
      <c r="E454" s="49" t="s">
        <v>69</v>
      </c>
      <c r="F454" s="49" t="s">
        <v>75</v>
      </c>
      <c r="G454" s="49" t="s">
        <v>147</v>
      </c>
      <c r="H454" s="49" t="s">
        <v>84</v>
      </c>
      <c r="I454" s="49" t="s">
        <v>80</v>
      </c>
      <c r="J454" s="49" t="s">
        <v>81</v>
      </c>
      <c r="K454" s="49">
        <v>4</v>
      </c>
      <c r="L454" s="49">
        <v>750</v>
      </c>
      <c r="M454" s="49">
        <v>0</v>
      </c>
      <c r="N454" s="49">
        <v>3000</v>
      </c>
      <c r="O454" s="49">
        <v>3000</v>
      </c>
      <c r="P454" s="49">
        <v>1667.09</v>
      </c>
      <c r="Q454" s="49">
        <v>1332.91</v>
      </c>
      <c r="R454" s="49">
        <v>0.44429999999999997</v>
      </c>
      <c r="S454" s="49">
        <v>0.55569999999999997</v>
      </c>
      <c r="T454" s="49">
        <v>4042</v>
      </c>
      <c r="U454" s="49">
        <v>4.6154000000000002</v>
      </c>
      <c r="V454" s="49">
        <v>0</v>
      </c>
      <c r="W454" s="50">
        <v>0</v>
      </c>
      <c r="X454" s="43"/>
      <c r="Y454" s="43"/>
      <c r="Z454" s="43"/>
      <c r="AA454" s="43"/>
      <c r="AB454" s="43"/>
      <c r="AC454" s="43"/>
    </row>
    <row r="455" spans="1:29" x14ac:dyDescent="0.3">
      <c r="A455" s="43"/>
      <c r="B455" s="45" t="s">
        <v>596</v>
      </c>
      <c r="C455" s="48">
        <v>45967</v>
      </c>
      <c r="D455" s="49" t="s">
        <v>140</v>
      </c>
      <c r="E455" s="49" t="s">
        <v>71</v>
      </c>
      <c r="F455" s="49" t="s">
        <v>74</v>
      </c>
      <c r="G455" s="49" t="s">
        <v>138</v>
      </c>
      <c r="H455" s="49" t="s">
        <v>84</v>
      </c>
      <c r="I455" s="49" t="s">
        <v>83</v>
      </c>
      <c r="J455" s="49" t="s">
        <v>81</v>
      </c>
      <c r="K455" s="49">
        <v>6</v>
      </c>
      <c r="L455" s="49">
        <v>300</v>
      </c>
      <c r="M455" s="49">
        <v>0.08</v>
      </c>
      <c r="N455" s="49">
        <v>1800</v>
      </c>
      <c r="O455" s="49">
        <v>1656</v>
      </c>
      <c r="P455" s="49">
        <v>1302.72</v>
      </c>
      <c r="Q455" s="49">
        <v>353.28</v>
      </c>
      <c r="R455" s="49">
        <v>0.21329999999999999</v>
      </c>
      <c r="S455" s="49">
        <v>0.78669999999999995</v>
      </c>
      <c r="T455" s="49">
        <v>3795</v>
      </c>
      <c r="U455" s="49">
        <v>1.84</v>
      </c>
      <c r="V455" s="49">
        <v>0</v>
      </c>
      <c r="W455" s="50">
        <v>0</v>
      </c>
      <c r="X455" s="43"/>
      <c r="Y455" s="43"/>
      <c r="Z455" s="43"/>
      <c r="AA455" s="43"/>
      <c r="AB455" s="43"/>
      <c r="AC455" s="43"/>
    </row>
    <row r="456" spans="1:29" x14ac:dyDescent="0.3">
      <c r="A456" s="43"/>
      <c r="B456" s="45" t="s">
        <v>597</v>
      </c>
      <c r="C456" s="48">
        <v>45439</v>
      </c>
      <c r="D456" s="49" t="s">
        <v>143</v>
      </c>
      <c r="E456" s="49" t="s">
        <v>69</v>
      </c>
      <c r="F456" s="49" t="s">
        <v>75</v>
      </c>
      <c r="G456" s="49" t="s">
        <v>141</v>
      </c>
      <c r="H456" s="49" t="s">
        <v>85</v>
      </c>
      <c r="I456" s="49" t="s">
        <v>80</v>
      </c>
      <c r="J456" s="49" t="s">
        <v>81</v>
      </c>
      <c r="K456" s="49">
        <v>6</v>
      </c>
      <c r="L456" s="49">
        <v>150</v>
      </c>
      <c r="M456" s="49">
        <v>0.1</v>
      </c>
      <c r="N456" s="49">
        <v>900</v>
      </c>
      <c r="O456" s="49">
        <v>810</v>
      </c>
      <c r="P456" s="49">
        <v>519.65</v>
      </c>
      <c r="Q456" s="49">
        <v>290.35000000000002</v>
      </c>
      <c r="R456" s="49">
        <v>0.35849999999999999</v>
      </c>
      <c r="S456" s="49">
        <v>0.64149999999999996</v>
      </c>
      <c r="T456" s="49">
        <v>703</v>
      </c>
      <c r="U456" s="49">
        <v>1.1877</v>
      </c>
      <c r="V456" s="49">
        <v>1</v>
      </c>
      <c r="W456" s="50">
        <v>0.16669999999999999</v>
      </c>
      <c r="X456" s="43"/>
      <c r="Y456" s="43"/>
      <c r="Z456" s="43"/>
      <c r="AA456" s="43"/>
      <c r="AB456" s="43"/>
      <c r="AC456" s="43"/>
    </row>
    <row r="457" spans="1:29" x14ac:dyDescent="0.3">
      <c r="A457" s="43"/>
      <c r="B457" s="45" t="s">
        <v>598</v>
      </c>
      <c r="C457" s="48">
        <v>45957</v>
      </c>
      <c r="D457" s="49" t="s">
        <v>149</v>
      </c>
      <c r="E457" s="49" t="s">
        <v>70</v>
      </c>
      <c r="F457" s="49" t="s">
        <v>72</v>
      </c>
      <c r="G457" s="49" t="s">
        <v>153</v>
      </c>
      <c r="H457" s="49" t="s">
        <v>84</v>
      </c>
      <c r="I457" s="49" t="s">
        <v>80</v>
      </c>
      <c r="J457" s="49" t="s">
        <v>81</v>
      </c>
      <c r="K457" s="49">
        <v>6</v>
      </c>
      <c r="L457" s="49">
        <v>200</v>
      </c>
      <c r="M457" s="49">
        <v>0.03</v>
      </c>
      <c r="N457" s="49">
        <v>1200</v>
      </c>
      <c r="O457" s="49">
        <v>1164</v>
      </c>
      <c r="P457" s="49">
        <v>618.92999999999995</v>
      </c>
      <c r="Q457" s="49">
        <v>545.07000000000005</v>
      </c>
      <c r="R457" s="49">
        <v>0.46829999999999999</v>
      </c>
      <c r="S457" s="49">
        <v>0.53169999999999995</v>
      </c>
      <c r="T457" s="49">
        <v>679</v>
      </c>
      <c r="U457" s="49">
        <v>1.6167</v>
      </c>
      <c r="V457" s="49">
        <v>0</v>
      </c>
      <c r="W457" s="50">
        <v>0</v>
      </c>
      <c r="X457" s="43"/>
      <c r="Y457" s="43"/>
      <c r="Z457" s="43"/>
      <c r="AA457" s="43"/>
      <c r="AB457" s="43"/>
      <c r="AC457" s="43"/>
    </row>
    <row r="458" spans="1:29" x14ac:dyDescent="0.3">
      <c r="A458" s="43"/>
      <c r="B458" s="45" t="s">
        <v>599</v>
      </c>
      <c r="C458" s="48">
        <v>45769</v>
      </c>
      <c r="D458" s="49" t="s">
        <v>143</v>
      </c>
      <c r="E458" s="49" t="s">
        <v>69</v>
      </c>
      <c r="F458" s="49" t="s">
        <v>75</v>
      </c>
      <c r="G458" s="49" t="s">
        <v>183</v>
      </c>
      <c r="H458" s="49" t="s">
        <v>85</v>
      </c>
      <c r="I458" s="49" t="s">
        <v>83</v>
      </c>
      <c r="J458" s="49" t="s">
        <v>81</v>
      </c>
      <c r="K458" s="49">
        <v>3</v>
      </c>
      <c r="L458" s="49">
        <v>500</v>
      </c>
      <c r="M458" s="49">
        <v>0.08</v>
      </c>
      <c r="N458" s="49">
        <v>1500</v>
      </c>
      <c r="O458" s="49">
        <v>1380</v>
      </c>
      <c r="P458" s="49">
        <v>788.57</v>
      </c>
      <c r="Q458" s="49">
        <v>591.42999999999995</v>
      </c>
      <c r="R458" s="49">
        <v>0.42859999999999998</v>
      </c>
      <c r="S458" s="49">
        <v>0.57140000000000002</v>
      </c>
      <c r="T458" s="49">
        <v>647</v>
      </c>
      <c r="U458" s="49">
        <v>2.0234999999999999</v>
      </c>
      <c r="V458" s="49">
        <v>0</v>
      </c>
      <c r="W458" s="50">
        <v>0</v>
      </c>
      <c r="X458" s="43"/>
      <c r="Y458" s="43"/>
      <c r="Z458" s="43"/>
      <c r="AA458" s="43"/>
      <c r="AB458" s="43"/>
      <c r="AC458" s="43"/>
    </row>
    <row r="459" spans="1:29" x14ac:dyDescent="0.3">
      <c r="A459" s="43"/>
      <c r="B459" s="45" t="s">
        <v>600</v>
      </c>
      <c r="C459" s="48">
        <v>45982</v>
      </c>
      <c r="D459" s="49" t="s">
        <v>140</v>
      </c>
      <c r="E459" s="49" t="s">
        <v>71</v>
      </c>
      <c r="F459" s="49" t="s">
        <v>76</v>
      </c>
      <c r="G459" s="49" t="s">
        <v>153</v>
      </c>
      <c r="H459" s="49" t="s">
        <v>82</v>
      </c>
      <c r="I459" s="49" t="s">
        <v>83</v>
      </c>
      <c r="J459" s="49" t="s">
        <v>81</v>
      </c>
      <c r="K459" s="49">
        <v>4</v>
      </c>
      <c r="L459" s="49">
        <v>80</v>
      </c>
      <c r="M459" s="49">
        <v>0.08</v>
      </c>
      <c r="N459" s="49">
        <v>320</v>
      </c>
      <c r="O459" s="49">
        <v>294.39999999999998</v>
      </c>
      <c r="P459" s="49">
        <v>206.31</v>
      </c>
      <c r="Q459" s="49">
        <v>88.09</v>
      </c>
      <c r="R459" s="49">
        <v>0.29920000000000002</v>
      </c>
      <c r="S459" s="49">
        <v>0.70079999999999998</v>
      </c>
      <c r="T459" s="49">
        <v>356</v>
      </c>
      <c r="U459" s="49">
        <v>0.27260000000000001</v>
      </c>
      <c r="V459" s="49">
        <v>0</v>
      </c>
      <c r="W459" s="50">
        <v>0</v>
      </c>
      <c r="X459" s="43"/>
      <c r="Y459" s="43"/>
      <c r="Z459" s="43"/>
      <c r="AA459" s="43"/>
      <c r="AB459" s="43"/>
      <c r="AC459" s="43"/>
    </row>
    <row r="460" spans="1:29" x14ac:dyDescent="0.3">
      <c r="A460" s="43"/>
      <c r="B460" s="45" t="s">
        <v>601</v>
      </c>
      <c r="C460" s="48">
        <v>45482</v>
      </c>
      <c r="D460" s="49" t="s">
        <v>161</v>
      </c>
      <c r="E460" s="49" t="s">
        <v>68</v>
      </c>
      <c r="F460" s="49" t="s">
        <v>72</v>
      </c>
      <c r="G460" s="49" t="s">
        <v>144</v>
      </c>
      <c r="H460" s="49" t="s">
        <v>85</v>
      </c>
      <c r="I460" s="49" t="s">
        <v>83</v>
      </c>
      <c r="J460" s="49" t="s">
        <v>81</v>
      </c>
      <c r="K460" s="49">
        <v>2</v>
      </c>
      <c r="L460" s="49">
        <v>300</v>
      </c>
      <c r="M460" s="49">
        <v>0.08</v>
      </c>
      <c r="N460" s="49">
        <v>600</v>
      </c>
      <c r="O460" s="49">
        <v>552</v>
      </c>
      <c r="P460" s="49">
        <v>342.3</v>
      </c>
      <c r="Q460" s="49">
        <v>209.7</v>
      </c>
      <c r="R460" s="49">
        <v>0.37990000000000002</v>
      </c>
      <c r="S460" s="49">
        <v>0.62009999999999998</v>
      </c>
      <c r="T460" s="49">
        <v>669</v>
      </c>
      <c r="U460" s="49">
        <v>0.82140000000000002</v>
      </c>
      <c r="V460" s="49">
        <v>0</v>
      </c>
      <c r="W460" s="50">
        <v>0</v>
      </c>
      <c r="X460" s="43"/>
      <c r="Y460" s="43"/>
      <c r="Z460" s="43"/>
      <c r="AA460" s="43"/>
      <c r="AB460" s="43"/>
      <c r="AC460" s="43"/>
    </row>
    <row r="461" spans="1:29" x14ac:dyDescent="0.3">
      <c r="A461" s="43"/>
      <c r="B461" s="45" t="s">
        <v>602</v>
      </c>
      <c r="C461" s="48">
        <v>45943</v>
      </c>
      <c r="D461" s="49" t="s">
        <v>137</v>
      </c>
      <c r="E461" s="49" t="s">
        <v>71</v>
      </c>
      <c r="F461" s="49" t="s">
        <v>72</v>
      </c>
      <c r="G461" s="49" t="s">
        <v>138</v>
      </c>
      <c r="H461" s="49" t="s">
        <v>82</v>
      </c>
      <c r="I461" s="49" t="s">
        <v>80</v>
      </c>
      <c r="J461" s="49" t="s">
        <v>81</v>
      </c>
      <c r="K461" s="49">
        <v>7</v>
      </c>
      <c r="L461" s="49">
        <v>60</v>
      </c>
      <c r="M461" s="49">
        <v>0.03</v>
      </c>
      <c r="N461" s="49">
        <v>420</v>
      </c>
      <c r="O461" s="49">
        <v>407.4</v>
      </c>
      <c r="P461" s="49">
        <v>312.74</v>
      </c>
      <c r="Q461" s="49">
        <v>94.66</v>
      </c>
      <c r="R461" s="49">
        <v>0.2324</v>
      </c>
      <c r="S461" s="49">
        <v>0.76759999999999995</v>
      </c>
      <c r="T461" s="49">
        <v>772</v>
      </c>
      <c r="U461" s="49">
        <v>0.56579999999999997</v>
      </c>
      <c r="V461" s="49">
        <v>0</v>
      </c>
      <c r="W461" s="50">
        <v>0</v>
      </c>
      <c r="X461" s="43"/>
      <c r="Y461" s="43"/>
      <c r="Z461" s="43"/>
      <c r="AA461" s="43"/>
      <c r="AB461" s="43"/>
      <c r="AC461" s="43"/>
    </row>
    <row r="462" spans="1:29" x14ac:dyDescent="0.3">
      <c r="A462" s="43"/>
      <c r="B462" s="45" t="s">
        <v>603</v>
      </c>
      <c r="C462" s="48">
        <v>45938</v>
      </c>
      <c r="D462" s="49" t="s">
        <v>149</v>
      </c>
      <c r="E462" s="49" t="s">
        <v>70</v>
      </c>
      <c r="F462" s="49" t="s">
        <v>75</v>
      </c>
      <c r="G462" s="49" t="s">
        <v>153</v>
      </c>
      <c r="H462" s="49" t="s">
        <v>84</v>
      </c>
      <c r="I462" s="49" t="s">
        <v>83</v>
      </c>
      <c r="J462" s="49" t="s">
        <v>86</v>
      </c>
      <c r="K462" s="49">
        <v>5</v>
      </c>
      <c r="L462" s="49">
        <v>150</v>
      </c>
      <c r="M462" s="49">
        <v>0.05</v>
      </c>
      <c r="N462" s="49">
        <v>750</v>
      </c>
      <c r="O462" s="49">
        <v>712.5</v>
      </c>
      <c r="P462" s="49">
        <v>475.95</v>
      </c>
      <c r="Q462" s="49">
        <v>236.55</v>
      </c>
      <c r="R462" s="49">
        <v>0.33200000000000002</v>
      </c>
      <c r="S462" s="49">
        <v>0.66800000000000004</v>
      </c>
      <c r="T462" s="49">
        <v>849</v>
      </c>
      <c r="U462" s="49">
        <v>0.91349999999999998</v>
      </c>
      <c r="V462" s="49">
        <v>0</v>
      </c>
      <c r="W462" s="50">
        <v>0</v>
      </c>
      <c r="X462" s="43"/>
      <c r="Y462" s="43"/>
      <c r="Z462" s="43"/>
      <c r="AA462" s="43"/>
      <c r="AB462" s="43"/>
      <c r="AC462" s="43"/>
    </row>
    <row r="463" spans="1:29" x14ac:dyDescent="0.3">
      <c r="A463" s="43"/>
      <c r="B463" s="45" t="s">
        <v>604</v>
      </c>
      <c r="C463" s="48">
        <v>45516</v>
      </c>
      <c r="D463" s="49" t="s">
        <v>149</v>
      </c>
      <c r="E463" s="49" t="s">
        <v>70</v>
      </c>
      <c r="F463" s="49" t="s">
        <v>72</v>
      </c>
      <c r="G463" s="49" t="s">
        <v>153</v>
      </c>
      <c r="H463" s="49" t="s">
        <v>84</v>
      </c>
      <c r="I463" s="49" t="s">
        <v>83</v>
      </c>
      <c r="J463" s="49" t="s">
        <v>81</v>
      </c>
      <c r="K463" s="49">
        <v>2</v>
      </c>
      <c r="L463" s="49">
        <v>500</v>
      </c>
      <c r="M463" s="49">
        <v>0.05</v>
      </c>
      <c r="N463" s="49">
        <v>1000</v>
      </c>
      <c r="O463" s="49">
        <v>950</v>
      </c>
      <c r="P463" s="49">
        <v>622.45000000000005</v>
      </c>
      <c r="Q463" s="49">
        <v>327.55</v>
      </c>
      <c r="R463" s="49">
        <v>0.3448</v>
      </c>
      <c r="S463" s="49">
        <v>0.6552</v>
      </c>
      <c r="T463" s="49">
        <v>1038</v>
      </c>
      <c r="U463" s="49">
        <v>1.4137</v>
      </c>
      <c r="V463" s="49">
        <v>1</v>
      </c>
      <c r="W463" s="50">
        <v>0.5</v>
      </c>
      <c r="X463" s="43"/>
      <c r="Y463" s="43"/>
      <c r="Z463" s="43"/>
      <c r="AA463" s="43"/>
      <c r="AB463" s="43"/>
      <c r="AC463" s="43"/>
    </row>
    <row r="464" spans="1:29" x14ac:dyDescent="0.3">
      <c r="A464" s="43"/>
      <c r="B464" s="45" t="s">
        <v>605</v>
      </c>
      <c r="C464" s="48">
        <v>45593</v>
      </c>
      <c r="D464" s="49" t="s">
        <v>143</v>
      </c>
      <c r="E464" s="49" t="s">
        <v>69</v>
      </c>
      <c r="F464" s="49" t="s">
        <v>75</v>
      </c>
      <c r="G464" s="49" t="s">
        <v>153</v>
      </c>
      <c r="H464" s="49" t="s">
        <v>82</v>
      </c>
      <c r="I464" s="49" t="s">
        <v>83</v>
      </c>
      <c r="J464" s="49" t="s">
        <v>81</v>
      </c>
      <c r="K464" s="49">
        <v>1</v>
      </c>
      <c r="L464" s="49">
        <v>25</v>
      </c>
      <c r="M464" s="49">
        <v>0.05</v>
      </c>
      <c r="N464" s="49">
        <v>25</v>
      </c>
      <c r="O464" s="49">
        <v>23.75</v>
      </c>
      <c r="P464" s="49">
        <v>15.9</v>
      </c>
      <c r="Q464" s="49">
        <v>7.85</v>
      </c>
      <c r="R464" s="49">
        <v>0.33050000000000002</v>
      </c>
      <c r="S464" s="49">
        <v>0.66949999999999998</v>
      </c>
      <c r="T464" s="49">
        <v>19</v>
      </c>
      <c r="U464" s="49">
        <v>3.04E-2</v>
      </c>
      <c r="V464" s="49">
        <v>0</v>
      </c>
      <c r="W464" s="50">
        <v>0</v>
      </c>
      <c r="X464" s="43"/>
      <c r="Y464" s="43"/>
      <c r="Z464" s="43"/>
      <c r="AA464" s="43"/>
      <c r="AB464" s="43"/>
      <c r="AC464" s="43"/>
    </row>
    <row r="465" spans="1:29" x14ac:dyDescent="0.3">
      <c r="A465" s="43"/>
      <c r="B465" s="45" t="s">
        <v>606</v>
      </c>
      <c r="C465" s="48">
        <v>45527</v>
      </c>
      <c r="D465" s="49" t="s">
        <v>161</v>
      </c>
      <c r="E465" s="49" t="s">
        <v>68</v>
      </c>
      <c r="F465" s="49" t="s">
        <v>74</v>
      </c>
      <c r="G465" s="49" t="s">
        <v>153</v>
      </c>
      <c r="H465" s="49" t="s">
        <v>85</v>
      </c>
      <c r="I465" s="49" t="s">
        <v>80</v>
      </c>
      <c r="J465" s="49" t="s">
        <v>86</v>
      </c>
      <c r="K465" s="49">
        <v>2</v>
      </c>
      <c r="L465" s="49">
        <v>25</v>
      </c>
      <c r="M465" s="49">
        <v>0.15</v>
      </c>
      <c r="N465" s="49">
        <v>50</v>
      </c>
      <c r="O465" s="49">
        <v>42.5</v>
      </c>
      <c r="P465" s="49">
        <v>27.84</v>
      </c>
      <c r="Q465" s="49">
        <v>14.66</v>
      </c>
      <c r="R465" s="49">
        <v>0.34489999999999998</v>
      </c>
      <c r="S465" s="49">
        <v>0.65510000000000002</v>
      </c>
      <c r="T465" s="49">
        <v>37</v>
      </c>
      <c r="U465" s="49">
        <v>5.0599999999999999E-2</v>
      </c>
      <c r="V465" s="49">
        <v>0</v>
      </c>
      <c r="W465" s="50">
        <v>0</v>
      </c>
      <c r="X465" s="43"/>
      <c r="Y465" s="43"/>
      <c r="Z465" s="43"/>
      <c r="AA465" s="43"/>
      <c r="AB465" s="43"/>
      <c r="AC465" s="43"/>
    </row>
    <row r="466" spans="1:29" x14ac:dyDescent="0.3">
      <c r="A466" s="43"/>
      <c r="B466" s="45" t="s">
        <v>607</v>
      </c>
      <c r="C466" s="48">
        <v>45297</v>
      </c>
      <c r="D466" s="49" t="s">
        <v>140</v>
      </c>
      <c r="E466" s="49" t="s">
        <v>71</v>
      </c>
      <c r="F466" s="49" t="s">
        <v>76</v>
      </c>
      <c r="G466" s="49" t="s">
        <v>144</v>
      </c>
      <c r="H466" s="49" t="s">
        <v>84</v>
      </c>
      <c r="I466" s="49" t="s">
        <v>80</v>
      </c>
      <c r="J466" s="49" t="s">
        <v>81</v>
      </c>
      <c r="K466" s="49">
        <v>3</v>
      </c>
      <c r="L466" s="49">
        <v>200</v>
      </c>
      <c r="M466" s="49">
        <v>0</v>
      </c>
      <c r="N466" s="49">
        <v>600</v>
      </c>
      <c r="O466" s="49">
        <v>600</v>
      </c>
      <c r="P466" s="49">
        <v>461.47</v>
      </c>
      <c r="Q466" s="49">
        <v>138.53</v>
      </c>
      <c r="R466" s="49">
        <v>0.23089999999999999</v>
      </c>
      <c r="S466" s="49">
        <v>0.76910000000000001</v>
      </c>
      <c r="T466" s="49">
        <v>636</v>
      </c>
      <c r="U466" s="49">
        <v>0.66669999999999996</v>
      </c>
      <c r="V466" s="49">
        <v>0</v>
      </c>
      <c r="W466" s="50">
        <v>0</v>
      </c>
      <c r="X466" s="43"/>
      <c r="Y466" s="43"/>
      <c r="Z466" s="43"/>
      <c r="AA466" s="43"/>
      <c r="AB466" s="43"/>
      <c r="AC466" s="43"/>
    </row>
    <row r="467" spans="1:29" x14ac:dyDescent="0.3">
      <c r="A467" s="43"/>
      <c r="B467" s="45" t="s">
        <v>608</v>
      </c>
      <c r="C467" s="48">
        <v>45686</v>
      </c>
      <c r="D467" s="49" t="s">
        <v>140</v>
      </c>
      <c r="E467" s="49" t="s">
        <v>71</v>
      </c>
      <c r="F467" s="49" t="s">
        <v>74</v>
      </c>
      <c r="G467" s="49" t="s">
        <v>138</v>
      </c>
      <c r="H467" s="49" t="s">
        <v>84</v>
      </c>
      <c r="I467" s="49" t="s">
        <v>83</v>
      </c>
      <c r="J467" s="49" t="s">
        <v>86</v>
      </c>
      <c r="K467" s="49">
        <v>7</v>
      </c>
      <c r="L467" s="49">
        <v>200</v>
      </c>
      <c r="M467" s="49">
        <v>0.08</v>
      </c>
      <c r="N467" s="49">
        <v>1400</v>
      </c>
      <c r="O467" s="49">
        <v>1288</v>
      </c>
      <c r="P467" s="49">
        <v>857.67</v>
      </c>
      <c r="Q467" s="49">
        <v>430.33</v>
      </c>
      <c r="R467" s="49">
        <v>0.33410000000000001</v>
      </c>
      <c r="S467" s="49">
        <v>0.66590000000000005</v>
      </c>
      <c r="T467" s="49">
        <v>1963</v>
      </c>
      <c r="U467" s="49">
        <v>1.7173</v>
      </c>
      <c r="V467" s="49">
        <v>0</v>
      </c>
      <c r="W467" s="50">
        <v>0</v>
      </c>
      <c r="X467" s="43"/>
      <c r="Y467" s="43"/>
      <c r="Z467" s="43"/>
      <c r="AA467" s="43"/>
      <c r="AB467" s="43"/>
      <c r="AC467" s="43"/>
    </row>
    <row r="468" spans="1:29" x14ac:dyDescent="0.3">
      <c r="A468" s="43"/>
      <c r="B468" s="45" t="s">
        <v>609</v>
      </c>
      <c r="C468" s="48">
        <v>45864</v>
      </c>
      <c r="D468" s="49" t="s">
        <v>140</v>
      </c>
      <c r="E468" s="49" t="s">
        <v>71</v>
      </c>
      <c r="F468" s="49" t="s">
        <v>76</v>
      </c>
      <c r="G468" s="49" t="s">
        <v>141</v>
      </c>
      <c r="H468" s="49" t="s">
        <v>82</v>
      </c>
      <c r="I468" s="49" t="s">
        <v>83</v>
      </c>
      <c r="J468" s="49" t="s">
        <v>86</v>
      </c>
      <c r="K468" s="49">
        <v>4</v>
      </c>
      <c r="L468" s="49">
        <v>100</v>
      </c>
      <c r="M468" s="49">
        <v>0.05</v>
      </c>
      <c r="N468" s="49">
        <v>400</v>
      </c>
      <c r="O468" s="49">
        <v>380</v>
      </c>
      <c r="P468" s="49">
        <v>216.74</v>
      </c>
      <c r="Q468" s="49">
        <v>163.26</v>
      </c>
      <c r="R468" s="49">
        <v>0.42959999999999998</v>
      </c>
      <c r="S468" s="49">
        <v>0.57040000000000002</v>
      </c>
      <c r="T468" s="49">
        <v>439</v>
      </c>
      <c r="U468" s="49">
        <v>0.377</v>
      </c>
      <c r="V468" s="49">
        <v>0</v>
      </c>
      <c r="W468" s="50">
        <v>0</v>
      </c>
      <c r="X468" s="43"/>
      <c r="Y468" s="43"/>
      <c r="Z468" s="43"/>
      <c r="AA468" s="43"/>
      <c r="AB468" s="43"/>
      <c r="AC468" s="43"/>
    </row>
    <row r="469" spans="1:29" x14ac:dyDescent="0.3">
      <c r="A469" s="43"/>
      <c r="B469" s="45" t="s">
        <v>610</v>
      </c>
      <c r="C469" s="48">
        <v>45722</v>
      </c>
      <c r="D469" s="49" t="s">
        <v>151</v>
      </c>
      <c r="E469" s="49" t="s">
        <v>70</v>
      </c>
      <c r="F469" s="49" t="s">
        <v>72</v>
      </c>
      <c r="G469" s="49" t="s">
        <v>147</v>
      </c>
      <c r="H469" s="49" t="s">
        <v>82</v>
      </c>
      <c r="I469" s="49" t="s">
        <v>83</v>
      </c>
      <c r="J469" s="49" t="s">
        <v>81</v>
      </c>
      <c r="K469" s="49">
        <v>2</v>
      </c>
      <c r="L469" s="49">
        <v>300</v>
      </c>
      <c r="M469" s="49">
        <v>0</v>
      </c>
      <c r="N469" s="49">
        <v>600</v>
      </c>
      <c r="O469" s="49">
        <v>600</v>
      </c>
      <c r="P469" s="49">
        <v>395.83</v>
      </c>
      <c r="Q469" s="49">
        <v>204.17</v>
      </c>
      <c r="R469" s="49">
        <v>0.34029999999999999</v>
      </c>
      <c r="S469" s="49">
        <v>0.65969999999999995</v>
      </c>
      <c r="T469" s="49">
        <v>710</v>
      </c>
      <c r="U469" s="49">
        <v>1</v>
      </c>
      <c r="V469" s="49">
        <v>0</v>
      </c>
      <c r="W469" s="50">
        <v>0</v>
      </c>
      <c r="X469" s="43"/>
      <c r="Y469" s="43"/>
      <c r="Z469" s="43"/>
      <c r="AA469" s="43"/>
      <c r="AB469" s="43"/>
      <c r="AC469" s="43"/>
    </row>
    <row r="470" spans="1:29" x14ac:dyDescent="0.3">
      <c r="A470" s="43"/>
      <c r="B470" s="45" t="s">
        <v>611</v>
      </c>
      <c r="C470" s="48">
        <v>45793</v>
      </c>
      <c r="D470" s="49" t="s">
        <v>140</v>
      </c>
      <c r="E470" s="49" t="s">
        <v>71</v>
      </c>
      <c r="F470" s="49" t="s">
        <v>76</v>
      </c>
      <c r="G470" s="49" t="s">
        <v>153</v>
      </c>
      <c r="H470" s="49" t="s">
        <v>85</v>
      </c>
      <c r="I470" s="49" t="s">
        <v>83</v>
      </c>
      <c r="J470" s="49" t="s">
        <v>86</v>
      </c>
      <c r="K470" s="49">
        <v>5</v>
      </c>
      <c r="L470" s="49">
        <v>60</v>
      </c>
      <c r="M470" s="49">
        <v>0</v>
      </c>
      <c r="N470" s="49">
        <v>300</v>
      </c>
      <c r="O470" s="49">
        <v>300</v>
      </c>
      <c r="P470" s="49">
        <v>220.11</v>
      </c>
      <c r="Q470" s="49">
        <v>79.89</v>
      </c>
      <c r="R470" s="49">
        <v>0.26629999999999998</v>
      </c>
      <c r="S470" s="49">
        <v>0.73370000000000002</v>
      </c>
      <c r="T470" s="49">
        <v>366</v>
      </c>
      <c r="U470" s="49">
        <v>0.3175</v>
      </c>
      <c r="V470" s="49">
        <v>0</v>
      </c>
      <c r="W470" s="50">
        <v>0</v>
      </c>
      <c r="X470" s="43"/>
      <c r="Y470" s="43"/>
      <c r="Z470" s="43"/>
      <c r="AA470" s="43"/>
      <c r="AB470" s="43"/>
      <c r="AC470" s="43"/>
    </row>
    <row r="471" spans="1:29" x14ac:dyDescent="0.3">
      <c r="A471" s="43"/>
      <c r="B471" s="45" t="s">
        <v>612</v>
      </c>
      <c r="C471" s="48">
        <v>45840</v>
      </c>
      <c r="D471" s="49" t="s">
        <v>149</v>
      </c>
      <c r="E471" s="49" t="s">
        <v>70</v>
      </c>
      <c r="F471" s="49" t="s">
        <v>72</v>
      </c>
      <c r="G471" s="49" t="s">
        <v>147</v>
      </c>
      <c r="H471" s="49" t="s">
        <v>84</v>
      </c>
      <c r="I471" s="49" t="s">
        <v>83</v>
      </c>
      <c r="J471" s="49" t="s">
        <v>81</v>
      </c>
      <c r="K471" s="49">
        <v>6</v>
      </c>
      <c r="L471" s="49">
        <v>60</v>
      </c>
      <c r="M471" s="49">
        <v>0.03</v>
      </c>
      <c r="N471" s="49">
        <v>360</v>
      </c>
      <c r="O471" s="49">
        <v>349.2</v>
      </c>
      <c r="P471" s="49">
        <v>226.09</v>
      </c>
      <c r="Q471" s="49">
        <v>123.11</v>
      </c>
      <c r="R471" s="49">
        <v>0.35249999999999998</v>
      </c>
      <c r="S471" s="49">
        <v>0.64749999999999996</v>
      </c>
      <c r="T471" s="49">
        <v>378</v>
      </c>
      <c r="U471" s="49">
        <v>0.51959999999999995</v>
      </c>
      <c r="V471" s="49">
        <v>0</v>
      </c>
      <c r="W471" s="50">
        <v>0</v>
      </c>
      <c r="X471" s="43"/>
      <c r="Y471" s="43"/>
      <c r="Z471" s="43"/>
      <c r="AA471" s="43"/>
      <c r="AB471" s="43"/>
      <c r="AC471" s="43"/>
    </row>
    <row r="472" spans="1:29" x14ac:dyDescent="0.3">
      <c r="A472" s="43"/>
      <c r="B472" s="45" t="s">
        <v>613</v>
      </c>
      <c r="C472" s="48">
        <v>45406</v>
      </c>
      <c r="D472" s="49" t="s">
        <v>161</v>
      </c>
      <c r="E472" s="49" t="s">
        <v>68</v>
      </c>
      <c r="F472" s="49" t="s">
        <v>72</v>
      </c>
      <c r="G472" s="49" t="s">
        <v>153</v>
      </c>
      <c r="H472" s="49" t="s">
        <v>82</v>
      </c>
      <c r="I472" s="49" t="s">
        <v>83</v>
      </c>
      <c r="J472" s="49" t="s">
        <v>86</v>
      </c>
      <c r="K472" s="49">
        <v>2</v>
      </c>
      <c r="L472" s="49">
        <v>100</v>
      </c>
      <c r="M472" s="49">
        <v>0.08</v>
      </c>
      <c r="N472" s="49">
        <v>200</v>
      </c>
      <c r="O472" s="49">
        <v>184</v>
      </c>
      <c r="P472" s="49">
        <v>104.09</v>
      </c>
      <c r="Q472" s="49">
        <v>79.91</v>
      </c>
      <c r="R472" s="49">
        <v>0.43430000000000002</v>
      </c>
      <c r="S472" s="49">
        <v>0.56569999999999998</v>
      </c>
      <c r="T472" s="49">
        <v>216</v>
      </c>
      <c r="U472" s="49">
        <v>0.29210000000000003</v>
      </c>
      <c r="V472" s="49">
        <v>0</v>
      </c>
      <c r="W472" s="50">
        <v>0</v>
      </c>
      <c r="X472" s="43"/>
      <c r="Y472" s="43"/>
      <c r="Z472" s="43"/>
      <c r="AA472" s="43"/>
      <c r="AB472" s="43"/>
      <c r="AC472" s="43"/>
    </row>
    <row r="473" spans="1:29" x14ac:dyDescent="0.3">
      <c r="A473" s="43"/>
      <c r="B473" s="45" t="s">
        <v>614</v>
      </c>
      <c r="C473" s="48">
        <v>45651</v>
      </c>
      <c r="D473" s="49" t="s">
        <v>140</v>
      </c>
      <c r="E473" s="49" t="s">
        <v>71</v>
      </c>
      <c r="F473" s="49" t="s">
        <v>76</v>
      </c>
      <c r="G473" s="49" t="s">
        <v>144</v>
      </c>
      <c r="H473" s="49" t="s">
        <v>82</v>
      </c>
      <c r="I473" s="49" t="s">
        <v>83</v>
      </c>
      <c r="J473" s="49" t="s">
        <v>86</v>
      </c>
      <c r="K473" s="49">
        <v>6</v>
      </c>
      <c r="L473" s="49">
        <v>60</v>
      </c>
      <c r="M473" s="49">
        <v>0.03</v>
      </c>
      <c r="N473" s="49">
        <v>360</v>
      </c>
      <c r="O473" s="49">
        <v>349.2</v>
      </c>
      <c r="P473" s="49">
        <v>260.44</v>
      </c>
      <c r="Q473" s="49">
        <v>88.76</v>
      </c>
      <c r="R473" s="49">
        <v>0.25419999999999998</v>
      </c>
      <c r="S473" s="49">
        <v>0.74580000000000002</v>
      </c>
      <c r="T473" s="49">
        <v>583</v>
      </c>
      <c r="U473" s="49">
        <v>0.32329999999999998</v>
      </c>
      <c r="V473" s="49">
        <v>0</v>
      </c>
      <c r="W473" s="50">
        <v>0</v>
      </c>
      <c r="X473" s="43"/>
      <c r="Y473" s="43"/>
      <c r="Z473" s="43"/>
      <c r="AA473" s="43"/>
      <c r="AB473" s="43"/>
      <c r="AC473" s="43"/>
    </row>
    <row r="474" spans="1:29" x14ac:dyDescent="0.3">
      <c r="A474" s="43"/>
      <c r="B474" s="45" t="s">
        <v>615</v>
      </c>
      <c r="C474" s="48">
        <v>45683</v>
      </c>
      <c r="D474" s="49" t="s">
        <v>137</v>
      </c>
      <c r="E474" s="49" t="s">
        <v>71</v>
      </c>
      <c r="F474" s="49" t="s">
        <v>73</v>
      </c>
      <c r="G474" s="49" t="s">
        <v>144</v>
      </c>
      <c r="H474" s="49" t="s">
        <v>84</v>
      </c>
      <c r="I474" s="49" t="s">
        <v>83</v>
      </c>
      <c r="J474" s="49" t="s">
        <v>86</v>
      </c>
      <c r="K474" s="49">
        <v>3</v>
      </c>
      <c r="L474" s="49">
        <v>200</v>
      </c>
      <c r="M474" s="49">
        <v>0.05</v>
      </c>
      <c r="N474" s="49">
        <v>600</v>
      </c>
      <c r="O474" s="49">
        <v>570</v>
      </c>
      <c r="P474" s="49">
        <v>448.41</v>
      </c>
      <c r="Q474" s="49">
        <v>121.59</v>
      </c>
      <c r="R474" s="49">
        <v>0.21329999999999999</v>
      </c>
      <c r="S474" s="49">
        <v>0.78669999999999995</v>
      </c>
      <c r="T474" s="49">
        <v>621</v>
      </c>
      <c r="U474" s="49">
        <v>0.71250000000000002</v>
      </c>
      <c r="V474" s="49">
        <v>0</v>
      </c>
      <c r="W474" s="50">
        <v>0</v>
      </c>
      <c r="X474" s="43"/>
      <c r="Y474" s="43"/>
      <c r="Z474" s="43"/>
      <c r="AA474" s="43"/>
      <c r="AB474" s="43"/>
      <c r="AC474" s="43"/>
    </row>
    <row r="475" spans="1:29" x14ac:dyDescent="0.3">
      <c r="A475" s="43"/>
      <c r="B475" s="45" t="s">
        <v>616</v>
      </c>
      <c r="C475" s="48">
        <v>45399</v>
      </c>
      <c r="D475" s="49" t="s">
        <v>140</v>
      </c>
      <c r="E475" s="49" t="s">
        <v>71</v>
      </c>
      <c r="F475" s="49" t="s">
        <v>75</v>
      </c>
      <c r="G475" s="49" t="s">
        <v>144</v>
      </c>
      <c r="H475" s="49" t="s">
        <v>79</v>
      </c>
      <c r="I475" s="49" t="s">
        <v>83</v>
      </c>
      <c r="J475" s="49" t="s">
        <v>81</v>
      </c>
      <c r="K475" s="49">
        <v>4</v>
      </c>
      <c r="L475" s="49">
        <v>80</v>
      </c>
      <c r="M475" s="49">
        <v>0.15</v>
      </c>
      <c r="N475" s="49">
        <v>320</v>
      </c>
      <c r="O475" s="49">
        <v>272</v>
      </c>
      <c r="P475" s="49">
        <v>129.61000000000001</v>
      </c>
      <c r="Q475" s="49">
        <v>142.38999999999999</v>
      </c>
      <c r="R475" s="49">
        <v>0.52349999999999997</v>
      </c>
      <c r="S475" s="49">
        <v>0.47649999999999998</v>
      </c>
      <c r="T475" s="49">
        <v>330</v>
      </c>
      <c r="U475" s="49">
        <v>0.39879999999999999</v>
      </c>
      <c r="V475" s="49">
        <v>0</v>
      </c>
      <c r="W475" s="50">
        <v>0</v>
      </c>
      <c r="X475" s="43"/>
      <c r="Y475" s="43"/>
      <c r="Z475" s="43"/>
      <c r="AA475" s="43"/>
      <c r="AB475" s="43"/>
      <c r="AC475" s="43"/>
    </row>
    <row r="476" spans="1:29" x14ac:dyDescent="0.3">
      <c r="A476" s="43"/>
      <c r="B476" s="45" t="s">
        <v>617</v>
      </c>
      <c r="C476" s="48">
        <v>45540</v>
      </c>
      <c r="D476" s="49" t="s">
        <v>161</v>
      </c>
      <c r="E476" s="49" t="s">
        <v>68</v>
      </c>
      <c r="F476" s="49" t="s">
        <v>73</v>
      </c>
      <c r="G476" s="49" t="s">
        <v>153</v>
      </c>
      <c r="H476" s="49" t="s">
        <v>85</v>
      </c>
      <c r="I476" s="49" t="s">
        <v>83</v>
      </c>
      <c r="J476" s="49" t="s">
        <v>86</v>
      </c>
      <c r="K476" s="49">
        <v>1</v>
      </c>
      <c r="L476" s="49">
        <v>300</v>
      </c>
      <c r="M476" s="49">
        <v>0.15</v>
      </c>
      <c r="N476" s="49">
        <v>300</v>
      </c>
      <c r="O476" s="49">
        <v>255</v>
      </c>
      <c r="P476" s="49">
        <v>167.45</v>
      </c>
      <c r="Q476" s="49">
        <v>87.55</v>
      </c>
      <c r="R476" s="49">
        <v>0.34329999999999999</v>
      </c>
      <c r="S476" s="49">
        <v>0.65669999999999995</v>
      </c>
      <c r="T476" s="49">
        <v>118</v>
      </c>
      <c r="U476" s="49">
        <v>0.28460000000000002</v>
      </c>
      <c r="V476" s="49">
        <v>0</v>
      </c>
      <c r="W476" s="50">
        <v>0</v>
      </c>
      <c r="X476" s="43"/>
      <c r="Y476" s="43"/>
      <c r="Z476" s="43"/>
      <c r="AA476" s="43"/>
      <c r="AB476" s="43"/>
      <c r="AC476" s="43"/>
    </row>
    <row r="477" spans="1:29" x14ac:dyDescent="0.3">
      <c r="A477" s="43"/>
      <c r="B477" s="45" t="s">
        <v>618</v>
      </c>
      <c r="C477" s="48">
        <v>45852</v>
      </c>
      <c r="D477" s="49" t="s">
        <v>151</v>
      </c>
      <c r="E477" s="49" t="s">
        <v>70</v>
      </c>
      <c r="F477" s="49" t="s">
        <v>73</v>
      </c>
      <c r="G477" s="49" t="s">
        <v>183</v>
      </c>
      <c r="H477" s="49" t="s">
        <v>85</v>
      </c>
      <c r="I477" s="49" t="s">
        <v>83</v>
      </c>
      <c r="J477" s="49" t="s">
        <v>81</v>
      </c>
      <c r="K477" s="49">
        <v>4</v>
      </c>
      <c r="L477" s="49">
        <v>150</v>
      </c>
      <c r="M477" s="49">
        <v>0.03</v>
      </c>
      <c r="N477" s="49">
        <v>600</v>
      </c>
      <c r="O477" s="49">
        <v>582</v>
      </c>
      <c r="P477" s="49">
        <v>423.36</v>
      </c>
      <c r="Q477" s="49">
        <v>158.63999999999999</v>
      </c>
      <c r="R477" s="49">
        <v>0.27260000000000001</v>
      </c>
      <c r="S477" s="49">
        <v>0.72740000000000005</v>
      </c>
      <c r="T477" s="49">
        <v>627</v>
      </c>
      <c r="U477" s="49">
        <v>0.64959999999999996</v>
      </c>
      <c r="V477" s="49">
        <v>0</v>
      </c>
      <c r="W477" s="50">
        <v>0</v>
      </c>
      <c r="X477" s="43"/>
      <c r="Y477" s="43"/>
      <c r="Z477" s="43"/>
      <c r="AA477" s="43"/>
      <c r="AB477" s="43"/>
      <c r="AC477" s="43"/>
    </row>
    <row r="478" spans="1:29" x14ac:dyDescent="0.3">
      <c r="A478" s="43"/>
      <c r="B478" s="45" t="s">
        <v>619</v>
      </c>
      <c r="C478" s="48">
        <v>45981</v>
      </c>
      <c r="D478" s="49" t="s">
        <v>143</v>
      </c>
      <c r="E478" s="49" t="s">
        <v>69</v>
      </c>
      <c r="F478" s="49" t="s">
        <v>76</v>
      </c>
      <c r="G478" s="49" t="s">
        <v>144</v>
      </c>
      <c r="H478" s="49" t="s">
        <v>79</v>
      </c>
      <c r="I478" s="49" t="s">
        <v>80</v>
      </c>
      <c r="J478" s="49" t="s">
        <v>86</v>
      </c>
      <c r="K478" s="49">
        <v>4</v>
      </c>
      <c r="L478" s="49">
        <v>300</v>
      </c>
      <c r="M478" s="49">
        <v>0.15</v>
      </c>
      <c r="N478" s="49">
        <v>1200</v>
      </c>
      <c r="O478" s="49">
        <v>1020</v>
      </c>
      <c r="P478" s="49">
        <v>670.98</v>
      </c>
      <c r="Q478" s="49">
        <v>349.02</v>
      </c>
      <c r="R478" s="49">
        <v>0.3422</v>
      </c>
      <c r="S478" s="49">
        <v>0.65780000000000005</v>
      </c>
      <c r="T478" s="49">
        <v>472</v>
      </c>
      <c r="U478" s="49">
        <v>0.94440000000000002</v>
      </c>
      <c r="V478" s="49">
        <v>0</v>
      </c>
      <c r="W478" s="50">
        <v>0</v>
      </c>
      <c r="X478" s="43"/>
      <c r="Y478" s="43"/>
      <c r="Z478" s="43"/>
      <c r="AA478" s="43"/>
      <c r="AB478" s="43"/>
      <c r="AC478" s="43"/>
    </row>
    <row r="479" spans="1:29" x14ac:dyDescent="0.3">
      <c r="A479" s="43"/>
      <c r="B479" s="45" t="s">
        <v>620</v>
      </c>
      <c r="C479" s="48">
        <v>45339</v>
      </c>
      <c r="D479" s="49" t="s">
        <v>140</v>
      </c>
      <c r="E479" s="49" t="s">
        <v>71</v>
      </c>
      <c r="F479" s="49" t="s">
        <v>75</v>
      </c>
      <c r="G479" s="49" t="s">
        <v>147</v>
      </c>
      <c r="H479" s="49" t="s">
        <v>84</v>
      </c>
      <c r="I479" s="49" t="s">
        <v>83</v>
      </c>
      <c r="J479" s="49" t="s">
        <v>81</v>
      </c>
      <c r="K479" s="49">
        <v>5</v>
      </c>
      <c r="L479" s="49">
        <v>750</v>
      </c>
      <c r="M479" s="49">
        <v>0.08</v>
      </c>
      <c r="N479" s="49">
        <v>3750</v>
      </c>
      <c r="O479" s="49">
        <v>3450</v>
      </c>
      <c r="P479" s="49">
        <v>1887.34</v>
      </c>
      <c r="Q479" s="49">
        <v>1562.66</v>
      </c>
      <c r="R479" s="49">
        <v>0.45290000000000002</v>
      </c>
      <c r="S479" s="49">
        <v>0.54710000000000003</v>
      </c>
      <c r="T479" s="49">
        <v>2681</v>
      </c>
      <c r="U479" s="49">
        <v>5.3076999999999996</v>
      </c>
      <c r="V479" s="49">
        <v>0</v>
      </c>
      <c r="W479" s="50">
        <v>0</v>
      </c>
      <c r="X479" s="43"/>
      <c r="Y479" s="43"/>
      <c r="Z479" s="43"/>
      <c r="AA479" s="43"/>
      <c r="AB479" s="43"/>
      <c r="AC479" s="43"/>
    </row>
    <row r="480" spans="1:29" x14ac:dyDescent="0.3">
      <c r="A480" s="43"/>
      <c r="B480" s="45" t="s">
        <v>621</v>
      </c>
      <c r="C480" s="48">
        <v>45895</v>
      </c>
      <c r="D480" s="49" t="s">
        <v>161</v>
      </c>
      <c r="E480" s="49" t="s">
        <v>68</v>
      </c>
      <c r="F480" s="49" t="s">
        <v>74</v>
      </c>
      <c r="G480" s="49" t="s">
        <v>153</v>
      </c>
      <c r="H480" s="49" t="s">
        <v>84</v>
      </c>
      <c r="I480" s="49" t="s">
        <v>80</v>
      </c>
      <c r="J480" s="49" t="s">
        <v>81</v>
      </c>
      <c r="K480" s="49">
        <v>1</v>
      </c>
      <c r="L480" s="49">
        <v>300</v>
      </c>
      <c r="M480" s="49">
        <v>0.05</v>
      </c>
      <c r="N480" s="49">
        <v>300</v>
      </c>
      <c r="O480" s="49">
        <v>285</v>
      </c>
      <c r="P480" s="49">
        <v>171.62</v>
      </c>
      <c r="Q480" s="49">
        <v>113.38</v>
      </c>
      <c r="R480" s="49">
        <v>0.39779999999999999</v>
      </c>
      <c r="S480" s="49">
        <v>0.60219999999999996</v>
      </c>
      <c r="T480" s="49">
        <v>345</v>
      </c>
      <c r="U480" s="49">
        <v>0.33929999999999999</v>
      </c>
      <c r="V480" s="49">
        <v>1</v>
      </c>
      <c r="W480" s="50">
        <v>1</v>
      </c>
      <c r="X480" s="43"/>
      <c r="Y480" s="43"/>
      <c r="Z480" s="43"/>
      <c r="AA480" s="43"/>
      <c r="AB480" s="43"/>
      <c r="AC480" s="43"/>
    </row>
    <row r="481" spans="1:29" x14ac:dyDescent="0.3">
      <c r="A481" s="43"/>
      <c r="B481" s="45" t="s">
        <v>622</v>
      </c>
      <c r="C481" s="48">
        <v>45763</v>
      </c>
      <c r="D481" s="49" t="s">
        <v>149</v>
      </c>
      <c r="E481" s="49" t="s">
        <v>70</v>
      </c>
      <c r="F481" s="49" t="s">
        <v>75</v>
      </c>
      <c r="G481" s="49" t="s">
        <v>147</v>
      </c>
      <c r="H481" s="49" t="s">
        <v>82</v>
      </c>
      <c r="I481" s="49" t="s">
        <v>83</v>
      </c>
      <c r="J481" s="49" t="s">
        <v>86</v>
      </c>
      <c r="K481" s="49">
        <v>3</v>
      </c>
      <c r="L481" s="49">
        <v>80</v>
      </c>
      <c r="M481" s="49">
        <v>0.15</v>
      </c>
      <c r="N481" s="49">
        <v>240</v>
      </c>
      <c r="O481" s="49">
        <v>204</v>
      </c>
      <c r="P481" s="49">
        <v>126.7</v>
      </c>
      <c r="Q481" s="49">
        <v>77.3</v>
      </c>
      <c r="R481" s="49">
        <v>0.37890000000000001</v>
      </c>
      <c r="S481" s="49">
        <v>0.62109999999999999</v>
      </c>
      <c r="T481" s="49">
        <v>308</v>
      </c>
      <c r="U481" s="49">
        <v>0.29909999999999998</v>
      </c>
      <c r="V481" s="49">
        <v>1</v>
      </c>
      <c r="W481" s="50">
        <v>0.33329999999999999</v>
      </c>
      <c r="X481" s="43"/>
      <c r="Y481" s="43"/>
      <c r="Z481" s="43"/>
      <c r="AA481" s="43"/>
      <c r="AB481" s="43"/>
      <c r="AC481" s="43"/>
    </row>
    <row r="482" spans="1:29" x14ac:dyDescent="0.3">
      <c r="A482" s="43"/>
      <c r="B482" s="45" t="s">
        <v>623</v>
      </c>
      <c r="C482" s="48">
        <v>45690</v>
      </c>
      <c r="D482" s="49" t="s">
        <v>143</v>
      </c>
      <c r="E482" s="49" t="s">
        <v>69</v>
      </c>
      <c r="F482" s="49" t="s">
        <v>72</v>
      </c>
      <c r="G482" s="49" t="s">
        <v>183</v>
      </c>
      <c r="H482" s="49" t="s">
        <v>82</v>
      </c>
      <c r="I482" s="49" t="s">
        <v>80</v>
      </c>
      <c r="J482" s="49" t="s">
        <v>86</v>
      </c>
      <c r="K482" s="49">
        <v>3</v>
      </c>
      <c r="L482" s="49">
        <v>100</v>
      </c>
      <c r="M482" s="49">
        <v>0.1</v>
      </c>
      <c r="N482" s="49">
        <v>300</v>
      </c>
      <c r="O482" s="49">
        <v>270</v>
      </c>
      <c r="P482" s="49">
        <v>116.1</v>
      </c>
      <c r="Q482" s="49">
        <v>153.9</v>
      </c>
      <c r="R482" s="49">
        <v>0.56999999999999995</v>
      </c>
      <c r="S482" s="49">
        <v>0.43</v>
      </c>
      <c r="T482" s="49">
        <v>212</v>
      </c>
      <c r="U482" s="49">
        <v>0.45</v>
      </c>
      <c r="V482" s="49">
        <v>1</v>
      </c>
      <c r="W482" s="50">
        <v>0.33329999999999999</v>
      </c>
      <c r="X482" s="43"/>
      <c r="Y482" s="43"/>
      <c r="Z482" s="43"/>
      <c r="AA482" s="43"/>
      <c r="AB482" s="43"/>
      <c r="AC482" s="43"/>
    </row>
    <row r="483" spans="1:29" x14ac:dyDescent="0.3">
      <c r="A483" s="43"/>
      <c r="B483" s="45" t="s">
        <v>624</v>
      </c>
      <c r="C483" s="48">
        <v>45663</v>
      </c>
      <c r="D483" s="49" t="s">
        <v>161</v>
      </c>
      <c r="E483" s="49" t="s">
        <v>68</v>
      </c>
      <c r="F483" s="49" t="s">
        <v>75</v>
      </c>
      <c r="G483" s="49" t="s">
        <v>153</v>
      </c>
      <c r="H483" s="49" t="s">
        <v>85</v>
      </c>
      <c r="I483" s="49" t="s">
        <v>80</v>
      </c>
      <c r="J483" s="49" t="s">
        <v>81</v>
      </c>
      <c r="K483" s="49">
        <v>2</v>
      </c>
      <c r="L483" s="49">
        <v>100</v>
      </c>
      <c r="M483" s="49">
        <v>0</v>
      </c>
      <c r="N483" s="49">
        <v>200</v>
      </c>
      <c r="O483" s="49">
        <v>200</v>
      </c>
      <c r="P483" s="49">
        <v>106.24</v>
      </c>
      <c r="Q483" s="49">
        <v>93.76</v>
      </c>
      <c r="R483" s="49">
        <v>0.46879999999999999</v>
      </c>
      <c r="S483" s="49">
        <v>0.53120000000000001</v>
      </c>
      <c r="T483" s="49">
        <v>211</v>
      </c>
      <c r="U483" s="49">
        <v>0.30769999999999997</v>
      </c>
      <c r="V483" s="49">
        <v>0</v>
      </c>
      <c r="W483" s="50">
        <v>0</v>
      </c>
      <c r="X483" s="43"/>
      <c r="Y483" s="43"/>
      <c r="Z483" s="43"/>
      <c r="AA483" s="43"/>
      <c r="AB483" s="43"/>
      <c r="AC483" s="43"/>
    </row>
    <row r="484" spans="1:29" x14ac:dyDescent="0.3">
      <c r="A484" s="43"/>
      <c r="B484" s="45" t="s">
        <v>625</v>
      </c>
      <c r="C484" s="48">
        <v>45406</v>
      </c>
      <c r="D484" s="49" t="s">
        <v>143</v>
      </c>
      <c r="E484" s="49" t="s">
        <v>69</v>
      </c>
      <c r="F484" s="49" t="s">
        <v>76</v>
      </c>
      <c r="G484" s="49" t="s">
        <v>183</v>
      </c>
      <c r="H484" s="49" t="s">
        <v>84</v>
      </c>
      <c r="I484" s="49" t="s">
        <v>80</v>
      </c>
      <c r="J484" s="49" t="s">
        <v>81</v>
      </c>
      <c r="K484" s="49">
        <v>5</v>
      </c>
      <c r="L484" s="49">
        <v>80</v>
      </c>
      <c r="M484" s="49">
        <v>0.1</v>
      </c>
      <c r="N484" s="49">
        <v>400</v>
      </c>
      <c r="O484" s="49">
        <v>360</v>
      </c>
      <c r="P484" s="49">
        <v>230.68</v>
      </c>
      <c r="Q484" s="49">
        <v>129.32</v>
      </c>
      <c r="R484" s="49">
        <v>0.35920000000000002</v>
      </c>
      <c r="S484" s="49">
        <v>0.64080000000000004</v>
      </c>
      <c r="T484" s="49">
        <v>442</v>
      </c>
      <c r="U484" s="49">
        <v>0.38100000000000001</v>
      </c>
      <c r="V484" s="49">
        <v>0</v>
      </c>
      <c r="W484" s="50">
        <v>0</v>
      </c>
      <c r="X484" s="43"/>
      <c r="Y484" s="43"/>
      <c r="Z484" s="43"/>
      <c r="AA484" s="43"/>
      <c r="AB484" s="43"/>
      <c r="AC484" s="43"/>
    </row>
    <row r="485" spans="1:29" x14ac:dyDescent="0.3">
      <c r="A485" s="43"/>
      <c r="B485" s="45" t="s">
        <v>626</v>
      </c>
      <c r="C485" s="48">
        <v>45593</v>
      </c>
      <c r="D485" s="49" t="s">
        <v>161</v>
      </c>
      <c r="E485" s="49" t="s">
        <v>68</v>
      </c>
      <c r="F485" s="49" t="s">
        <v>76</v>
      </c>
      <c r="G485" s="49" t="s">
        <v>138</v>
      </c>
      <c r="H485" s="49" t="s">
        <v>84</v>
      </c>
      <c r="I485" s="49" t="s">
        <v>83</v>
      </c>
      <c r="J485" s="49" t="s">
        <v>81</v>
      </c>
      <c r="K485" s="49">
        <v>5</v>
      </c>
      <c r="L485" s="49">
        <v>40</v>
      </c>
      <c r="M485" s="49">
        <v>0.08</v>
      </c>
      <c r="N485" s="49">
        <v>200</v>
      </c>
      <c r="O485" s="49">
        <v>184</v>
      </c>
      <c r="P485" s="49">
        <v>134.56</v>
      </c>
      <c r="Q485" s="49">
        <v>49.44</v>
      </c>
      <c r="R485" s="49">
        <v>0.26869999999999999</v>
      </c>
      <c r="S485" s="49">
        <v>0.73129999999999995</v>
      </c>
      <c r="T485" s="49">
        <v>109</v>
      </c>
      <c r="U485" s="49">
        <v>0.1704</v>
      </c>
      <c r="V485" s="49">
        <v>1</v>
      </c>
      <c r="W485" s="50">
        <v>0.2</v>
      </c>
      <c r="X485" s="43"/>
      <c r="Y485" s="43"/>
      <c r="Z485" s="43"/>
      <c r="AA485" s="43"/>
      <c r="AB485" s="43"/>
      <c r="AC485" s="43"/>
    </row>
    <row r="486" spans="1:29" x14ac:dyDescent="0.3">
      <c r="A486" s="43"/>
      <c r="B486" s="45" t="s">
        <v>627</v>
      </c>
      <c r="C486" s="48">
        <v>45685</v>
      </c>
      <c r="D486" s="49" t="s">
        <v>140</v>
      </c>
      <c r="E486" s="49" t="s">
        <v>71</v>
      </c>
      <c r="F486" s="49" t="s">
        <v>74</v>
      </c>
      <c r="G486" s="49" t="s">
        <v>153</v>
      </c>
      <c r="H486" s="49" t="s">
        <v>82</v>
      </c>
      <c r="I486" s="49" t="s">
        <v>80</v>
      </c>
      <c r="J486" s="49" t="s">
        <v>81</v>
      </c>
      <c r="K486" s="49">
        <v>3</v>
      </c>
      <c r="L486" s="49">
        <v>80</v>
      </c>
      <c r="M486" s="49">
        <v>0.03</v>
      </c>
      <c r="N486" s="49">
        <v>240</v>
      </c>
      <c r="O486" s="49">
        <v>232.8</v>
      </c>
      <c r="P486" s="49">
        <v>154.44</v>
      </c>
      <c r="Q486" s="49">
        <v>78.36</v>
      </c>
      <c r="R486" s="49">
        <v>0.33660000000000001</v>
      </c>
      <c r="S486" s="49">
        <v>0.66339999999999999</v>
      </c>
      <c r="T486" s="49">
        <v>155</v>
      </c>
      <c r="U486" s="49">
        <v>0.31040000000000001</v>
      </c>
      <c r="V486" s="49">
        <v>0</v>
      </c>
      <c r="W486" s="50">
        <v>0</v>
      </c>
      <c r="X486" s="43"/>
      <c r="Y486" s="43"/>
      <c r="Z486" s="43"/>
      <c r="AA486" s="43"/>
      <c r="AB486" s="43"/>
      <c r="AC486" s="43"/>
    </row>
    <row r="487" spans="1:29" x14ac:dyDescent="0.3">
      <c r="A487" s="43"/>
      <c r="B487" s="45" t="s">
        <v>628</v>
      </c>
      <c r="C487" s="48">
        <v>45954</v>
      </c>
      <c r="D487" s="49" t="s">
        <v>149</v>
      </c>
      <c r="E487" s="49" t="s">
        <v>70</v>
      </c>
      <c r="F487" s="49" t="s">
        <v>72</v>
      </c>
      <c r="G487" s="49" t="s">
        <v>144</v>
      </c>
      <c r="H487" s="49" t="s">
        <v>82</v>
      </c>
      <c r="I487" s="49" t="s">
        <v>83</v>
      </c>
      <c r="J487" s="49" t="s">
        <v>81</v>
      </c>
      <c r="K487" s="49">
        <v>2</v>
      </c>
      <c r="L487" s="49">
        <v>100</v>
      </c>
      <c r="M487" s="49">
        <v>0.03</v>
      </c>
      <c r="N487" s="49">
        <v>200</v>
      </c>
      <c r="O487" s="49">
        <v>194</v>
      </c>
      <c r="P487" s="49">
        <v>137.66</v>
      </c>
      <c r="Q487" s="49">
        <v>56.34</v>
      </c>
      <c r="R487" s="49">
        <v>0.29039999999999999</v>
      </c>
      <c r="S487" s="49">
        <v>0.70960000000000001</v>
      </c>
      <c r="T487" s="49">
        <v>208</v>
      </c>
      <c r="U487" s="49">
        <v>0.26939999999999997</v>
      </c>
      <c r="V487" s="49">
        <v>0</v>
      </c>
      <c r="W487" s="50">
        <v>0</v>
      </c>
      <c r="X487" s="43"/>
      <c r="Y487" s="43"/>
      <c r="Z487" s="43"/>
      <c r="AA487" s="43"/>
      <c r="AB487" s="43"/>
      <c r="AC487" s="43"/>
    </row>
    <row r="488" spans="1:29" x14ac:dyDescent="0.3">
      <c r="A488" s="43"/>
      <c r="B488" s="45" t="s">
        <v>629</v>
      </c>
      <c r="C488" s="48">
        <v>45717</v>
      </c>
      <c r="D488" s="49" t="s">
        <v>151</v>
      </c>
      <c r="E488" s="49" t="s">
        <v>70</v>
      </c>
      <c r="F488" s="49" t="s">
        <v>72</v>
      </c>
      <c r="G488" s="49" t="s">
        <v>141</v>
      </c>
      <c r="H488" s="49" t="s">
        <v>82</v>
      </c>
      <c r="I488" s="49" t="s">
        <v>80</v>
      </c>
      <c r="J488" s="49" t="s">
        <v>81</v>
      </c>
      <c r="K488" s="49">
        <v>6</v>
      </c>
      <c r="L488" s="49">
        <v>750</v>
      </c>
      <c r="M488" s="49">
        <v>0.05</v>
      </c>
      <c r="N488" s="49">
        <v>4500</v>
      </c>
      <c r="O488" s="49">
        <v>4275</v>
      </c>
      <c r="P488" s="49">
        <v>2769.77</v>
      </c>
      <c r="Q488" s="49">
        <v>1505.23</v>
      </c>
      <c r="R488" s="49">
        <v>0.35210000000000002</v>
      </c>
      <c r="S488" s="49">
        <v>0.64790000000000003</v>
      </c>
      <c r="T488" s="49">
        <v>4479</v>
      </c>
      <c r="U488" s="49">
        <v>7.125</v>
      </c>
      <c r="V488" s="49">
        <v>0</v>
      </c>
      <c r="W488" s="50">
        <v>0</v>
      </c>
      <c r="X488" s="43"/>
      <c r="Y488" s="43"/>
      <c r="Z488" s="43"/>
      <c r="AA488" s="43"/>
      <c r="AB488" s="43"/>
      <c r="AC488" s="43"/>
    </row>
    <row r="489" spans="1:29" x14ac:dyDescent="0.3">
      <c r="A489" s="43"/>
      <c r="B489" s="45" t="s">
        <v>630</v>
      </c>
      <c r="C489" s="48">
        <v>45328</v>
      </c>
      <c r="D489" s="49" t="s">
        <v>143</v>
      </c>
      <c r="E489" s="49" t="s">
        <v>69</v>
      </c>
      <c r="F489" s="49" t="s">
        <v>76</v>
      </c>
      <c r="G489" s="49" t="s">
        <v>183</v>
      </c>
      <c r="H489" s="49" t="s">
        <v>82</v>
      </c>
      <c r="I489" s="49" t="s">
        <v>83</v>
      </c>
      <c r="J489" s="49" t="s">
        <v>81</v>
      </c>
      <c r="K489" s="49">
        <v>8</v>
      </c>
      <c r="L489" s="49">
        <v>500</v>
      </c>
      <c r="M489" s="49">
        <v>0.03</v>
      </c>
      <c r="N489" s="49">
        <v>4000</v>
      </c>
      <c r="O489" s="49">
        <v>3880</v>
      </c>
      <c r="P489" s="49">
        <v>2467.33</v>
      </c>
      <c r="Q489" s="49">
        <v>1412.67</v>
      </c>
      <c r="R489" s="49">
        <v>0.36409999999999998</v>
      </c>
      <c r="S489" s="49">
        <v>0.63590000000000002</v>
      </c>
      <c r="T489" s="49">
        <v>1803</v>
      </c>
      <c r="U489" s="49">
        <v>4.3110999999999997</v>
      </c>
      <c r="V489" s="49">
        <v>1</v>
      </c>
      <c r="W489" s="50">
        <v>0.125</v>
      </c>
      <c r="X489" s="43"/>
      <c r="Y489" s="43"/>
      <c r="Z489" s="43"/>
      <c r="AA489" s="43"/>
      <c r="AB489" s="43"/>
      <c r="AC489" s="43"/>
    </row>
    <row r="490" spans="1:29" x14ac:dyDescent="0.3">
      <c r="A490" s="43"/>
      <c r="B490" s="45" t="s">
        <v>631</v>
      </c>
      <c r="C490" s="48">
        <v>45665</v>
      </c>
      <c r="D490" s="49" t="s">
        <v>161</v>
      </c>
      <c r="E490" s="49" t="s">
        <v>68</v>
      </c>
      <c r="F490" s="49" t="s">
        <v>75</v>
      </c>
      <c r="G490" s="49" t="s">
        <v>144</v>
      </c>
      <c r="H490" s="49" t="s">
        <v>85</v>
      </c>
      <c r="I490" s="49" t="s">
        <v>83</v>
      </c>
      <c r="J490" s="49" t="s">
        <v>81</v>
      </c>
      <c r="K490" s="49">
        <v>2</v>
      </c>
      <c r="L490" s="49">
        <v>750</v>
      </c>
      <c r="M490" s="49">
        <v>0.08</v>
      </c>
      <c r="N490" s="49">
        <v>1500</v>
      </c>
      <c r="O490" s="49">
        <v>1380</v>
      </c>
      <c r="P490" s="49">
        <v>771.76</v>
      </c>
      <c r="Q490" s="49">
        <v>608.24</v>
      </c>
      <c r="R490" s="49">
        <v>0.44080000000000003</v>
      </c>
      <c r="S490" s="49">
        <v>0.55920000000000003</v>
      </c>
      <c r="T490" s="49">
        <v>914</v>
      </c>
      <c r="U490" s="49">
        <v>2.1231</v>
      </c>
      <c r="V490" s="49">
        <v>0</v>
      </c>
      <c r="W490" s="50">
        <v>0</v>
      </c>
      <c r="X490" s="43"/>
      <c r="Y490" s="43"/>
      <c r="Z490" s="43"/>
      <c r="AA490" s="43"/>
      <c r="AB490" s="43"/>
      <c r="AC490" s="43"/>
    </row>
    <row r="491" spans="1:29" x14ac:dyDescent="0.3">
      <c r="A491" s="43"/>
      <c r="B491" s="45" t="s">
        <v>632</v>
      </c>
      <c r="C491" s="48">
        <v>45416</v>
      </c>
      <c r="D491" s="49" t="s">
        <v>143</v>
      </c>
      <c r="E491" s="49" t="s">
        <v>69</v>
      </c>
      <c r="F491" s="49" t="s">
        <v>73</v>
      </c>
      <c r="G491" s="49" t="s">
        <v>147</v>
      </c>
      <c r="H491" s="49" t="s">
        <v>84</v>
      </c>
      <c r="I491" s="49" t="s">
        <v>83</v>
      </c>
      <c r="J491" s="49" t="s">
        <v>81</v>
      </c>
      <c r="K491" s="49">
        <v>4</v>
      </c>
      <c r="L491" s="49">
        <v>100</v>
      </c>
      <c r="M491" s="49">
        <v>0.05</v>
      </c>
      <c r="N491" s="49">
        <v>400</v>
      </c>
      <c r="O491" s="49">
        <v>380</v>
      </c>
      <c r="P491" s="49">
        <v>311.60000000000002</v>
      </c>
      <c r="Q491" s="49">
        <v>68.400000000000006</v>
      </c>
      <c r="R491" s="49">
        <v>0.18</v>
      </c>
      <c r="S491" s="49">
        <v>0.82</v>
      </c>
      <c r="T491" s="49">
        <v>324</v>
      </c>
      <c r="U491" s="49">
        <v>0.45240000000000002</v>
      </c>
      <c r="V491" s="49">
        <v>0</v>
      </c>
      <c r="W491" s="50">
        <v>0</v>
      </c>
      <c r="X491" s="43"/>
      <c r="Y491" s="43"/>
      <c r="Z491" s="43"/>
      <c r="AA491" s="43"/>
      <c r="AB491" s="43"/>
      <c r="AC491" s="43"/>
    </row>
    <row r="492" spans="1:29" x14ac:dyDescent="0.3">
      <c r="A492" s="43"/>
      <c r="B492" s="45" t="s">
        <v>633</v>
      </c>
      <c r="C492" s="48">
        <v>45512</v>
      </c>
      <c r="D492" s="49" t="s">
        <v>143</v>
      </c>
      <c r="E492" s="49" t="s">
        <v>69</v>
      </c>
      <c r="F492" s="49" t="s">
        <v>72</v>
      </c>
      <c r="G492" s="49" t="s">
        <v>147</v>
      </c>
      <c r="H492" s="49" t="s">
        <v>85</v>
      </c>
      <c r="I492" s="49" t="s">
        <v>80</v>
      </c>
      <c r="J492" s="49" t="s">
        <v>81</v>
      </c>
      <c r="K492" s="49">
        <v>6</v>
      </c>
      <c r="L492" s="49">
        <v>60</v>
      </c>
      <c r="M492" s="49">
        <v>0.08</v>
      </c>
      <c r="N492" s="49">
        <v>360</v>
      </c>
      <c r="O492" s="49">
        <v>331.2</v>
      </c>
      <c r="P492" s="49">
        <v>198.59</v>
      </c>
      <c r="Q492" s="49">
        <v>132.61000000000001</v>
      </c>
      <c r="R492" s="49">
        <v>0.40039999999999998</v>
      </c>
      <c r="S492" s="49">
        <v>0.59960000000000002</v>
      </c>
      <c r="T492" s="49">
        <v>502</v>
      </c>
      <c r="U492" s="49">
        <v>0.4929</v>
      </c>
      <c r="V492" s="49">
        <v>0</v>
      </c>
      <c r="W492" s="50">
        <v>0</v>
      </c>
      <c r="X492" s="43"/>
      <c r="Y492" s="43"/>
      <c r="Z492" s="43"/>
      <c r="AA492" s="43"/>
      <c r="AB492" s="43"/>
      <c r="AC492" s="43"/>
    </row>
    <row r="493" spans="1:29" x14ac:dyDescent="0.3">
      <c r="A493" s="43"/>
      <c r="B493" s="45" t="s">
        <v>634</v>
      </c>
      <c r="C493" s="48">
        <v>45295</v>
      </c>
      <c r="D493" s="49" t="s">
        <v>161</v>
      </c>
      <c r="E493" s="49" t="s">
        <v>68</v>
      </c>
      <c r="F493" s="49" t="s">
        <v>73</v>
      </c>
      <c r="G493" s="49" t="s">
        <v>183</v>
      </c>
      <c r="H493" s="49" t="s">
        <v>82</v>
      </c>
      <c r="I493" s="49" t="s">
        <v>83</v>
      </c>
      <c r="J493" s="49" t="s">
        <v>81</v>
      </c>
      <c r="K493" s="49">
        <v>2</v>
      </c>
      <c r="L493" s="49">
        <v>60</v>
      </c>
      <c r="M493" s="49">
        <v>0.03</v>
      </c>
      <c r="N493" s="49">
        <v>120</v>
      </c>
      <c r="O493" s="49">
        <v>116.4</v>
      </c>
      <c r="P493" s="49">
        <v>93.27</v>
      </c>
      <c r="Q493" s="49">
        <v>23.13</v>
      </c>
      <c r="R493" s="49">
        <v>0.19869999999999999</v>
      </c>
      <c r="S493" s="49">
        <v>0.80130000000000001</v>
      </c>
      <c r="T493" s="49">
        <v>69</v>
      </c>
      <c r="U493" s="49">
        <v>0.14549999999999999</v>
      </c>
      <c r="V493" s="49">
        <v>0</v>
      </c>
      <c r="W493" s="50">
        <v>0</v>
      </c>
      <c r="X493" s="43"/>
      <c r="Y493" s="43"/>
      <c r="Z493" s="43"/>
      <c r="AA493" s="43"/>
      <c r="AB493" s="43"/>
      <c r="AC493" s="43"/>
    </row>
    <row r="494" spans="1:29" x14ac:dyDescent="0.3">
      <c r="A494" s="43"/>
      <c r="B494" s="45" t="s">
        <v>635</v>
      </c>
      <c r="C494" s="48">
        <v>45500</v>
      </c>
      <c r="D494" s="49" t="s">
        <v>140</v>
      </c>
      <c r="E494" s="49" t="s">
        <v>71</v>
      </c>
      <c r="F494" s="49" t="s">
        <v>76</v>
      </c>
      <c r="G494" s="49" t="s">
        <v>141</v>
      </c>
      <c r="H494" s="49" t="s">
        <v>79</v>
      </c>
      <c r="I494" s="49" t="s">
        <v>83</v>
      </c>
      <c r="J494" s="49" t="s">
        <v>81</v>
      </c>
      <c r="K494" s="49">
        <v>5</v>
      </c>
      <c r="L494" s="49">
        <v>150</v>
      </c>
      <c r="M494" s="49">
        <v>0.03</v>
      </c>
      <c r="N494" s="49">
        <v>750</v>
      </c>
      <c r="O494" s="49">
        <v>727.5</v>
      </c>
      <c r="P494" s="49">
        <v>497.69</v>
      </c>
      <c r="Q494" s="49">
        <v>229.81</v>
      </c>
      <c r="R494" s="49">
        <v>0.31590000000000001</v>
      </c>
      <c r="S494" s="49">
        <v>0.68410000000000004</v>
      </c>
      <c r="T494" s="49">
        <v>1199</v>
      </c>
      <c r="U494" s="49">
        <v>0.72170000000000001</v>
      </c>
      <c r="V494" s="49">
        <v>0</v>
      </c>
      <c r="W494" s="50">
        <v>0</v>
      </c>
      <c r="X494" s="43"/>
      <c r="Y494" s="43"/>
      <c r="Z494" s="43"/>
      <c r="AA494" s="43"/>
      <c r="AB494" s="43"/>
      <c r="AC494" s="43"/>
    </row>
    <row r="495" spans="1:29" x14ac:dyDescent="0.3">
      <c r="A495" s="43"/>
      <c r="B495" s="45" t="s">
        <v>636</v>
      </c>
      <c r="C495" s="48">
        <v>45719</v>
      </c>
      <c r="D495" s="49" t="s">
        <v>151</v>
      </c>
      <c r="E495" s="49" t="s">
        <v>70</v>
      </c>
      <c r="F495" s="49" t="s">
        <v>75</v>
      </c>
      <c r="G495" s="49" t="s">
        <v>138</v>
      </c>
      <c r="H495" s="49" t="s">
        <v>79</v>
      </c>
      <c r="I495" s="49" t="s">
        <v>83</v>
      </c>
      <c r="J495" s="49" t="s">
        <v>86</v>
      </c>
      <c r="K495" s="49">
        <v>1</v>
      </c>
      <c r="L495" s="49">
        <v>80</v>
      </c>
      <c r="M495" s="49">
        <v>0.05</v>
      </c>
      <c r="N495" s="49">
        <v>80</v>
      </c>
      <c r="O495" s="49">
        <v>76</v>
      </c>
      <c r="P495" s="49">
        <v>44.31</v>
      </c>
      <c r="Q495" s="49">
        <v>31.69</v>
      </c>
      <c r="R495" s="49">
        <v>0.41699999999999998</v>
      </c>
      <c r="S495" s="49">
        <v>0.58299999999999996</v>
      </c>
      <c r="T495" s="49">
        <v>90</v>
      </c>
      <c r="U495" s="49">
        <v>0.1169</v>
      </c>
      <c r="V495" s="49">
        <v>0</v>
      </c>
      <c r="W495" s="50">
        <v>0</v>
      </c>
      <c r="X495" s="43"/>
      <c r="Y495" s="43"/>
      <c r="Z495" s="43"/>
      <c r="AA495" s="43"/>
      <c r="AB495" s="43"/>
      <c r="AC495" s="43"/>
    </row>
    <row r="496" spans="1:29" x14ac:dyDescent="0.3">
      <c r="A496" s="43"/>
      <c r="B496" s="45" t="s">
        <v>637</v>
      </c>
      <c r="C496" s="48">
        <v>45434</v>
      </c>
      <c r="D496" s="49" t="s">
        <v>143</v>
      </c>
      <c r="E496" s="49" t="s">
        <v>69</v>
      </c>
      <c r="F496" s="49" t="s">
        <v>74</v>
      </c>
      <c r="G496" s="49" t="s">
        <v>147</v>
      </c>
      <c r="H496" s="49" t="s">
        <v>84</v>
      </c>
      <c r="I496" s="49" t="s">
        <v>83</v>
      </c>
      <c r="J496" s="49" t="s">
        <v>81</v>
      </c>
      <c r="K496" s="49">
        <v>5</v>
      </c>
      <c r="L496" s="49">
        <v>500</v>
      </c>
      <c r="M496" s="49">
        <v>0.1</v>
      </c>
      <c r="N496" s="49">
        <v>2500</v>
      </c>
      <c r="O496" s="49">
        <v>2250</v>
      </c>
      <c r="P496" s="49">
        <v>1510.58</v>
      </c>
      <c r="Q496" s="49">
        <v>739.42</v>
      </c>
      <c r="R496" s="49">
        <v>0.3286</v>
      </c>
      <c r="S496" s="49">
        <v>0.6714</v>
      </c>
      <c r="T496" s="49">
        <v>2711</v>
      </c>
      <c r="U496" s="49">
        <v>2.8553000000000002</v>
      </c>
      <c r="V496" s="49">
        <v>0</v>
      </c>
      <c r="W496" s="50">
        <v>0</v>
      </c>
      <c r="X496" s="43"/>
      <c r="Y496" s="43"/>
      <c r="Z496" s="43"/>
      <c r="AA496" s="43"/>
      <c r="AB496" s="43"/>
      <c r="AC496" s="43"/>
    </row>
    <row r="497" spans="1:29" x14ac:dyDescent="0.3">
      <c r="A497" s="43"/>
      <c r="B497" s="45" t="s">
        <v>638</v>
      </c>
      <c r="C497" s="48">
        <v>45897</v>
      </c>
      <c r="D497" s="49" t="s">
        <v>143</v>
      </c>
      <c r="E497" s="49" t="s">
        <v>69</v>
      </c>
      <c r="F497" s="49" t="s">
        <v>72</v>
      </c>
      <c r="G497" s="49" t="s">
        <v>141</v>
      </c>
      <c r="H497" s="49" t="s">
        <v>84</v>
      </c>
      <c r="I497" s="49" t="s">
        <v>80</v>
      </c>
      <c r="J497" s="49" t="s">
        <v>81</v>
      </c>
      <c r="K497" s="49">
        <v>6</v>
      </c>
      <c r="L497" s="49">
        <v>750</v>
      </c>
      <c r="M497" s="49">
        <v>0.05</v>
      </c>
      <c r="N497" s="49">
        <v>4500</v>
      </c>
      <c r="O497" s="49">
        <v>4275</v>
      </c>
      <c r="P497" s="49">
        <v>3144.74</v>
      </c>
      <c r="Q497" s="49">
        <v>1130.26</v>
      </c>
      <c r="R497" s="49">
        <v>0.26440000000000002</v>
      </c>
      <c r="S497" s="49">
        <v>0.73560000000000003</v>
      </c>
      <c r="T497" s="49">
        <v>3721</v>
      </c>
      <c r="U497" s="49">
        <v>6.3616000000000001</v>
      </c>
      <c r="V497" s="49">
        <v>0</v>
      </c>
      <c r="W497" s="50">
        <v>0</v>
      </c>
      <c r="X497" s="43"/>
      <c r="Y497" s="43"/>
      <c r="Z497" s="43"/>
      <c r="AA497" s="43"/>
      <c r="AB497" s="43"/>
      <c r="AC497" s="43"/>
    </row>
    <row r="498" spans="1:29" x14ac:dyDescent="0.3">
      <c r="A498" s="43"/>
      <c r="B498" s="45" t="s">
        <v>639</v>
      </c>
      <c r="C498" s="48">
        <v>45806</v>
      </c>
      <c r="D498" s="49" t="s">
        <v>149</v>
      </c>
      <c r="E498" s="49" t="s">
        <v>70</v>
      </c>
      <c r="F498" s="49" t="s">
        <v>76</v>
      </c>
      <c r="G498" s="49" t="s">
        <v>138</v>
      </c>
      <c r="H498" s="49" t="s">
        <v>82</v>
      </c>
      <c r="I498" s="49" t="s">
        <v>83</v>
      </c>
      <c r="J498" s="49" t="s">
        <v>81</v>
      </c>
      <c r="K498" s="49">
        <v>9</v>
      </c>
      <c r="L498" s="49">
        <v>100</v>
      </c>
      <c r="M498" s="49">
        <v>0.1</v>
      </c>
      <c r="N498" s="49">
        <v>900</v>
      </c>
      <c r="O498" s="49">
        <v>810</v>
      </c>
      <c r="P498" s="49">
        <v>488.18</v>
      </c>
      <c r="Q498" s="49">
        <v>321.82</v>
      </c>
      <c r="R498" s="49">
        <v>0.39729999999999999</v>
      </c>
      <c r="S498" s="49">
        <v>0.60270000000000001</v>
      </c>
      <c r="T498" s="49">
        <v>858</v>
      </c>
      <c r="U498" s="49">
        <v>0.85709999999999997</v>
      </c>
      <c r="V498" s="49">
        <v>0</v>
      </c>
      <c r="W498" s="50">
        <v>0</v>
      </c>
      <c r="X498" s="43"/>
      <c r="Y498" s="43"/>
      <c r="Z498" s="43"/>
      <c r="AA498" s="43"/>
      <c r="AB498" s="43"/>
      <c r="AC498" s="43"/>
    </row>
    <row r="499" spans="1:29" x14ac:dyDescent="0.3">
      <c r="A499" s="43"/>
      <c r="B499" s="45" t="s">
        <v>640</v>
      </c>
      <c r="C499" s="48">
        <v>45842</v>
      </c>
      <c r="D499" s="49" t="s">
        <v>137</v>
      </c>
      <c r="E499" s="49" t="s">
        <v>71</v>
      </c>
      <c r="F499" s="49" t="s">
        <v>75</v>
      </c>
      <c r="G499" s="49" t="s">
        <v>147</v>
      </c>
      <c r="H499" s="49" t="s">
        <v>79</v>
      </c>
      <c r="I499" s="49" t="s">
        <v>83</v>
      </c>
      <c r="J499" s="49" t="s">
        <v>81</v>
      </c>
      <c r="K499" s="49">
        <v>5</v>
      </c>
      <c r="L499" s="49">
        <v>25</v>
      </c>
      <c r="M499" s="49">
        <v>0.05</v>
      </c>
      <c r="N499" s="49">
        <v>125</v>
      </c>
      <c r="O499" s="49">
        <v>118.75</v>
      </c>
      <c r="P499" s="49">
        <v>79.510000000000005</v>
      </c>
      <c r="Q499" s="49">
        <v>39.24</v>
      </c>
      <c r="R499" s="49">
        <v>0.33040000000000003</v>
      </c>
      <c r="S499" s="49">
        <v>0.66959999999999997</v>
      </c>
      <c r="T499" s="49">
        <v>94</v>
      </c>
      <c r="U499" s="49">
        <v>0.16309999999999999</v>
      </c>
      <c r="V499" s="49">
        <v>0</v>
      </c>
      <c r="W499" s="50">
        <v>0</v>
      </c>
      <c r="X499" s="43"/>
      <c r="Y499" s="43"/>
      <c r="Z499" s="43"/>
      <c r="AA499" s="43"/>
      <c r="AB499" s="43"/>
      <c r="AC499" s="43"/>
    </row>
    <row r="500" spans="1:29" x14ac:dyDescent="0.3">
      <c r="A500" s="43"/>
      <c r="B500" s="45" t="s">
        <v>641</v>
      </c>
      <c r="C500" s="48">
        <v>45876</v>
      </c>
      <c r="D500" s="49" t="s">
        <v>151</v>
      </c>
      <c r="E500" s="49" t="s">
        <v>70</v>
      </c>
      <c r="F500" s="49" t="s">
        <v>72</v>
      </c>
      <c r="G500" s="49" t="s">
        <v>147</v>
      </c>
      <c r="H500" s="49" t="s">
        <v>82</v>
      </c>
      <c r="I500" s="49" t="s">
        <v>80</v>
      </c>
      <c r="J500" s="49" t="s">
        <v>81</v>
      </c>
      <c r="K500" s="49">
        <v>2</v>
      </c>
      <c r="L500" s="49">
        <v>60</v>
      </c>
      <c r="M500" s="49">
        <v>0.05</v>
      </c>
      <c r="N500" s="49">
        <v>120</v>
      </c>
      <c r="O500" s="49">
        <v>114</v>
      </c>
      <c r="P500" s="49">
        <v>73.569999999999993</v>
      </c>
      <c r="Q500" s="49">
        <v>40.43</v>
      </c>
      <c r="R500" s="49">
        <v>0.35460000000000003</v>
      </c>
      <c r="S500" s="49">
        <v>0.64539999999999997</v>
      </c>
      <c r="T500" s="49">
        <v>139</v>
      </c>
      <c r="U500" s="49">
        <v>0.1696</v>
      </c>
      <c r="V500" s="49">
        <v>0</v>
      </c>
      <c r="W500" s="50">
        <v>0</v>
      </c>
      <c r="X500" s="43"/>
      <c r="Y500" s="43"/>
      <c r="Z500" s="43"/>
      <c r="AA500" s="43"/>
      <c r="AB500" s="43"/>
      <c r="AC500" s="43"/>
    </row>
    <row r="501" spans="1:29" x14ac:dyDescent="0.3">
      <c r="A501" s="43"/>
      <c r="B501" s="45" t="s">
        <v>642</v>
      </c>
      <c r="C501" s="48">
        <v>45734</v>
      </c>
      <c r="D501" s="49" t="s">
        <v>161</v>
      </c>
      <c r="E501" s="49" t="s">
        <v>68</v>
      </c>
      <c r="F501" s="49" t="s">
        <v>76</v>
      </c>
      <c r="G501" s="49" t="s">
        <v>183</v>
      </c>
      <c r="H501" s="49" t="s">
        <v>82</v>
      </c>
      <c r="I501" s="49" t="s">
        <v>80</v>
      </c>
      <c r="J501" s="49" t="s">
        <v>81</v>
      </c>
      <c r="K501" s="49">
        <v>4</v>
      </c>
      <c r="L501" s="49">
        <v>80</v>
      </c>
      <c r="M501" s="49">
        <v>0.05</v>
      </c>
      <c r="N501" s="49">
        <v>320</v>
      </c>
      <c r="O501" s="49">
        <v>304</v>
      </c>
      <c r="P501" s="49">
        <v>216.74</v>
      </c>
      <c r="Q501" s="49">
        <v>87.26</v>
      </c>
      <c r="R501" s="49">
        <v>0.28699999999999998</v>
      </c>
      <c r="S501" s="49">
        <v>0.71299999999999997</v>
      </c>
      <c r="T501" s="49">
        <v>376</v>
      </c>
      <c r="U501" s="49">
        <v>0.33779999999999999</v>
      </c>
      <c r="V501" s="49">
        <v>0</v>
      </c>
      <c r="W501" s="50">
        <v>0</v>
      </c>
      <c r="X501" s="43"/>
      <c r="Y501" s="43"/>
      <c r="Z501" s="43"/>
      <c r="AA501" s="43"/>
      <c r="AB501" s="43"/>
      <c r="AC501" s="43"/>
    </row>
    <row r="502" spans="1:29" x14ac:dyDescent="0.3">
      <c r="A502" s="43"/>
      <c r="B502" s="45" t="s">
        <v>643</v>
      </c>
      <c r="C502" s="48">
        <v>45616</v>
      </c>
      <c r="D502" s="49" t="s">
        <v>149</v>
      </c>
      <c r="E502" s="49" t="s">
        <v>70</v>
      </c>
      <c r="F502" s="49" t="s">
        <v>74</v>
      </c>
      <c r="G502" s="49" t="s">
        <v>183</v>
      </c>
      <c r="H502" s="49" t="s">
        <v>84</v>
      </c>
      <c r="I502" s="49" t="s">
        <v>80</v>
      </c>
      <c r="J502" s="49" t="s">
        <v>81</v>
      </c>
      <c r="K502" s="49">
        <v>3</v>
      </c>
      <c r="L502" s="49">
        <v>80</v>
      </c>
      <c r="M502" s="49">
        <v>0.15</v>
      </c>
      <c r="N502" s="49">
        <v>240</v>
      </c>
      <c r="O502" s="49">
        <v>204</v>
      </c>
      <c r="P502" s="49">
        <v>127.68</v>
      </c>
      <c r="Q502" s="49">
        <v>76.319999999999993</v>
      </c>
      <c r="R502" s="49">
        <v>0.37409999999999999</v>
      </c>
      <c r="S502" s="49">
        <v>0.62590000000000001</v>
      </c>
      <c r="T502" s="49">
        <v>152</v>
      </c>
      <c r="U502" s="49">
        <v>0.22670000000000001</v>
      </c>
      <c r="V502" s="49">
        <v>0</v>
      </c>
      <c r="W502" s="50">
        <v>0</v>
      </c>
      <c r="X502" s="43"/>
      <c r="Y502" s="43"/>
      <c r="Z502" s="43"/>
      <c r="AA502" s="43"/>
      <c r="AB502" s="43"/>
      <c r="AC502" s="43"/>
    </row>
    <row r="503" spans="1:29" x14ac:dyDescent="0.3">
      <c r="A503" s="43"/>
      <c r="B503" s="45" t="s">
        <v>644</v>
      </c>
      <c r="C503" s="48">
        <v>45335</v>
      </c>
      <c r="D503" s="49" t="s">
        <v>143</v>
      </c>
      <c r="E503" s="49" t="s">
        <v>69</v>
      </c>
      <c r="F503" s="49" t="s">
        <v>76</v>
      </c>
      <c r="G503" s="49" t="s">
        <v>147</v>
      </c>
      <c r="H503" s="49" t="s">
        <v>79</v>
      </c>
      <c r="I503" s="49" t="s">
        <v>80</v>
      </c>
      <c r="J503" s="49" t="s">
        <v>81</v>
      </c>
      <c r="K503" s="49">
        <v>4</v>
      </c>
      <c r="L503" s="49">
        <v>200</v>
      </c>
      <c r="M503" s="49">
        <v>0</v>
      </c>
      <c r="N503" s="49">
        <v>800</v>
      </c>
      <c r="O503" s="49">
        <v>800</v>
      </c>
      <c r="P503" s="49">
        <v>455.7</v>
      </c>
      <c r="Q503" s="49">
        <v>344.3</v>
      </c>
      <c r="R503" s="49">
        <v>0.4304</v>
      </c>
      <c r="S503" s="49">
        <v>0.5696</v>
      </c>
      <c r="T503" s="49">
        <v>860</v>
      </c>
      <c r="U503" s="49">
        <v>0.88890000000000002</v>
      </c>
      <c r="V503" s="49">
        <v>0</v>
      </c>
      <c r="W503" s="50">
        <v>0</v>
      </c>
      <c r="X503" s="43"/>
      <c r="Y503" s="43"/>
      <c r="Z503" s="43"/>
      <c r="AA503" s="43"/>
      <c r="AB503" s="43"/>
      <c r="AC503" s="43"/>
    </row>
    <row r="504" spans="1:29" x14ac:dyDescent="0.3">
      <c r="A504" s="43"/>
      <c r="B504" s="45" t="s">
        <v>645</v>
      </c>
      <c r="C504" s="48">
        <v>45676</v>
      </c>
      <c r="D504" s="49" t="s">
        <v>143</v>
      </c>
      <c r="E504" s="49" t="s">
        <v>69</v>
      </c>
      <c r="F504" s="49" t="s">
        <v>73</v>
      </c>
      <c r="G504" s="49" t="s">
        <v>141</v>
      </c>
      <c r="H504" s="49" t="s">
        <v>79</v>
      </c>
      <c r="I504" s="49" t="s">
        <v>80</v>
      </c>
      <c r="J504" s="49" t="s">
        <v>81</v>
      </c>
      <c r="K504" s="49">
        <v>3</v>
      </c>
      <c r="L504" s="49">
        <v>60</v>
      </c>
      <c r="M504" s="49">
        <v>0.03</v>
      </c>
      <c r="N504" s="49">
        <v>180</v>
      </c>
      <c r="O504" s="49">
        <v>174.6</v>
      </c>
      <c r="P504" s="49">
        <v>109.86</v>
      </c>
      <c r="Q504" s="49">
        <v>64.739999999999995</v>
      </c>
      <c r="R504" s="49">
        <v>0.37080000000000002</v>
      </c>
      <c r="S504" s="49">
        <v>0.62919999999999998</v>
      </c>
      <c r="T504" s="49">
        <v>267</v>
      </c>
      <c r="U504" s="49">
        <v>0.21820000000000001</v>
      </c>
      <c r="V504" s="49">
        <v>0</v>
      </c>
      <c r="W504" s="50">
        <v>0</v>
      </c>
      <c r="X504" s="43"/>
      <c r="Y504" s="43"/>
      <c r="Z504" s="43"/>
      <c r="AA504" s="43"/>
      <c r="AB504" s="43"/>
      <c r="AC504" s="43"/>
    </row>
    <row r="505" spans="1:29" x14ac:dyDescent="0.3">
      <c r="A505" s="43"/>
      <c r="B505" s="45" t="s">
        <v>646</v>
      </c>
      <c r="C505" s="48">
        <v>45790</v>
      </c>
      <c r="D505" s="49" t="s">
        <v>161</v>
      </c>
      <c r="E505" s="49" t="s">
        <v>68</v>
      </c>
      <c r="F505" s="49" t="s">
        <v>76</v>
      </c>
      <c r="G505" s="49" t="s">
        <v>153</v>
      </c>
      <c r="H505" s="49" t="s">
        <v>85</v>
      </c>
      <c r="I505" s="49" t="s">
        <v>80</v>
      </c>
      <c r="J505" s="49" t="s">
        <v>86</v>
      </c>
      <c r="K505" s="49">
        <v>5</v>
      </c>
      <c r="L505" s="49">
        <v>200</v>
      </c>
      <c r="M505" s="49">
        <v>0.1</v>
      </c>
      <c r="N505" s="49">
        <v>1000</v>
      </c>
      <c r="O505" s="49">
        <v>900</v>
      </c>
      <c r="P505" s="49">
        <v>589.04</v>
      </c>
      <c r="Q505" s="49">
        <v>310.95999999999998</v>
      </c>
      <c r="R505" s="49">
        <v>0.34549999999999997</v>
      </c>
      <c r="S505" s="49">
        <v>0.65449999999999997</v>
      </c>
      <c r="T505" s="49">
        <v>963</v>
      </c>
      <c r="U505" s="49">
        <v>0.95240000000000002</v>
      </c>
      <c r="V505" s="49">
        <v>0</v>
      </c>
      <c r="W505" s="50">
        <v>0</v>
      </c>
      <c r="X505" s="43"/>
      <c r="Y505" s="43"/>
      <c r="Z505" s="43"/>
      <c r="AA505" s="43"/>
      <c r="AB505" s="43"/>
      <c r="AC505" s="43"/>
    </row>
    <row r="506" spans="1:29" x14ac:dyDescent="0.3">
      <c r="A506" s="43"/>
      <c r="B506" s="51" t="s">
        <v>647</v>
      </c>
      <c r="C506" s="52">
        <v>45849</v>
      </c>
      <c r="D506" s="53" t="s">
        <v>143</v>
      </c>
      <c r="E506" s="53" t="s">
        <v>69</v>
      </c>
      <c r="F506" s="53" t="s">
        <v>72</v>
      </c>
      <c r="G506" s="53" t="s">
        <v>141</v>
      </c>
      <c r="H506" s="53" t="s">
        <v>82</v>
      </c>
      <c r="I506" s="53" t="s">
        <v>83</v>
      </c>
      <c r="J506" s="53" t="s">
        <v>81</v>
      </c>
      <c r="K506" s="53">
        <v>1</v>
      </c>
      <c r="L506" s="53">
        <v>60</v>
      </c>
      <c r="M506" s="53">
        <v>0</v>
      </c>
      <c r="N506" s="53">
        <v>60</v>
      </c>
      <c r="O506" s="53">
        <v>60</v>
      </c>
      <c r="P506" s="53">
        <v>43.39</v>
      </c>
      <c r="Q506" s="53">
        <v>16.61</v>
      </c>
      <c r="R506" s="53">
        <v>0.27679999999999999</v>
      </c>
      <c r="S506" s="53">
        <v>0.72319999999999995</v>
      </c>
      <c r="T506" s="53">
        <v>672</v>
      </c>
      <c r="U506" s="53">
        <v>8.9300000000000004E-2</v>
      </c>
      <c r="V506" s="53">
        <v>0</v>
      </c>
      <c r="W506" s="54">
        <v>0</v>
      </c>
      <c r="X506" s="43"/>
      <c r="Y506" s="43"/>
      <c r="Z506" s="43"/>
      <c r="AA506" s="43"/>
      <c r="AB506" s="43"/>
      <c r="AC506" s="43"/>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D111E-FDF9-4D8E-98A2-B37C8B0C0D9A}">
  <dimension ref="A1"/>
  <sheetViews>
    <sheetView showGridLines="0" showRowColHeaders="0" tabSelected="1" topLeftCell="A5" zoomScale="109" zoomScaleNormal="109" workbookViewId="0"/>
  </sheetViews>
  <sheetFormatPr baseColWidth="10" defaultColWidth="8.88671875"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5DA17-0AC6-4168-A33B-5018B6A8E9F9}">
  <dimension ref="A1"/>
  <sheetViews>
    <sheetView workbookViewId="0"/>
  </sheetViews>
  <sheetFormatPr baseColWidth="10"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29507EA-01E1-43BE-8AC7-D154142AFF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Pivot</vt:lpstr>
      <vt:lpstr>Processing</vt:lpstr>
      <vt:lpstr>Dashboard</vt:lpstr>
      <vt:lpstr>Profitability</vt:lpstr>
      <vt:lpstr>Operations</vt:lpstr>
      <vt:lpstr>Dataset</vt:lpstr>
      <vt:lpstr>Insights</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muhammed Jan</dc:creator>
  <cp:lastModifiedBy>Zakaria Kassemi</cp:lastModifiedBy>
  <dcterms:created xsi:type="dcterms:W3CDTF">2026-09-04T15:47:20Z</dcterms:created>
  <dcterms:modified xsi:type="dcterms:W3CDTF">2026-09-15T20:45:47Z</dcterms:modified>
</cp:coreProperties>
</file>